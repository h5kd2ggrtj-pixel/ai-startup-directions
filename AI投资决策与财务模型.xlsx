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f168105ea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57851cfb954800"/>
    <x:sheet xmlns:r="http://schemas.openxmlformats.org/officeDocument/2006/relationships" name="Assumptions" sheetId="2" r:id="Rb7eaa636d05a46a6"/>
    <x:sheet xmlns:r="http://schemas.openxmlformats.org/officeDocument/2006/relationships" name="Operating_Model" sheetId="3" r:id="Rf9b23b8f1bf345d4"/>
    <x:sheet xmlns:r="http://schemas.openxmlformats.org/officeDocument/2006/relationships" name="Investment_Map" sheetId="4" r:id="R49b7c417156e45c5"/>
    <x:sheet xmlns:r="http://schemas.openxmlformats.org/officeDocument/2006/relationships" name="Capital_Themes" sheetId="5" r:id="R33f1a70c0a1e4880"/>
    <x:sheet xmlns:r="http://schemas.openxmlformats.org/officeDocument/2006/relationships" name="Evidence_Maturity" sheetId="6" r:id="R2959a3347a484745"/>
    <x:sheet xmlns:r="http://schemas.openxmlformats.org/officeDocument/2006/relationships" name="Scorecard" sheetId="7" r:id="R1f8a93186f1a49ef"/>
    <x:sheet xmlns:r="http://schemas.openxmlformats.org/officeDocument/2006/relationships" name="Stress_Test" sheetId="8" r:id="R5eab07cfcf5c4234"/>
    <x:sheet xmlns:r="http://schemas.openxmlformats.org/officeDocument/2006/relationships" name="Silicon_Economy" sheetId="9" r:id="R5874c98190984111"/>
    <x:sheet xmlns:r="http://schemas.openxmlformats.org/officeDocument/2006/relationships" name="Due_Diligence" sheetId="10" r:id="R5414c355faa845a3"/>
    <x:sheet xmlns:r="http://schemas.openxmlformats.org/officeDocument/2006/relationships" name="Sources" sheetId="11" r:id="R5bf557a035f141e3"/>
    <x:sheet xmlns:r="http://schemas.openxmlformats.org/officeDocument/2006/relationships" name="Checks" sheetId="12" r:id="R5a7ed465da91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"/>
    <x:numFmt numFmtId="202" formatCode="#,##0"/>
    <x:numFmt numFmtId="203" formatCode="#,##0;[Red](#,##0);-"/>
    <x:numFmt numFmtId="204" formatCode="0"/>
    <x:numFmt numFmtId="205" formatCode="0%"/>
    <x:numFmt numFmtId="206" formatCode="yyyy-mm-dd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1"/>
      <x:color rgb="FF152238"/>
      <x:name val="Carlito"/>
    </x:font>
    <x:font>
      <x:i/>
      <x:sz val="11"/>
      <x:color rgb="FF152238"/>
      <x:name val="Carlito"/>
    </x:font>
    <x:font>
      <x:b/>
      <x:sz val="11"/>
      <x:color rgb="FF152238"/>
      <x:name val="Carlito"/>
    </x:font>
    <x:font>
      <x:b/>
      <x:sz val="14"/>
      <x:color rgb="FFFFFFFF"/>
      <x:name val="Carlito"/>
    </x:font>
    <x:font>
      <x:b/>
      <x:sz val="11"/>
      <x:color rgb="FF0B6E6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B3A"/>
      </x:patternFill>
    </x:fill>
    <x:fill>
      <x:patternFill patternType="solid">
        <x:fgColor rgb="FF0B6E61"/>
      </x:patternFill>
    </x:fill>
    <x:fill>
      <x:patternFill patternType="solid">
        <x:fgColor rgb="FFFFF0D8"/>
      </x:patternFill>
    </x:fill>
    <x:fill>
      <x:patternFill patternType="solid">
        <x:fgColor rgb="FFFFFBEA"/>
      </x:patternFill>
    </x:fill>
    <x:fill>
      <x:patternFill patternType="solid">
        <x:fgColor rgb="FFE8F5F1"/>
      </x:patternFill>
    </x:fill>
  </x:fills>
  <x:borders count="7">
    <x:border/>
    <x:border>
      <x:left style="thin">
        <x:color rgb="FFDCE5E8"/>
      </x:left>
      <x:top style="thin">
        <x:color rgb="FFDCE5E8"/>
      </x:top>
      <x:bottom style="thin">
        <x:color rgb="FFDCE5E8"/>
      </x:bottom>
    </x:border>
    <x:border>
      <x:top style="thin">
        <x:color rgb="FFDCE5E8"/>
      </x:top>
      <x:bottom style="thin">
        <x:color rgb="FFDCE5E8"/>
      </x:bottom>
    </x:border>
    <x:border>
      <x:right style="thin">
        <x:color rgb="FFDCE5E8"/>
      </x:right>
      <x:top style="thin">
        <x:color rgb="FFDCE5E8"/>
      </x:top>
      <x:bottom style="thin">
        <x:color rgb="FFDCE5E8"/>
      </x:bottom>
    </x:border>
    <x:border>
      <x:bottom style="thin">
        <x:color rgb="FFDCE5E8"/>
      </x:bottom>
    </x:border>
    <x:border>
      <x:top style="thin">
        <x:color rgb="FFDCE5E8"/>
      </x:top>
    </x:border>
    <x:border>
      <x:bottom style="double">
        <x:color rgb="FF0B6E61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2" fontId="3" fillId="0" borderId="4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1" fontId="3" fillId="5" borderId="4" xfId="0" applyNumberFormat="1" applyFont="1" applyFill="1" applyBorder="1" applyAlignment="1">
      <x:alignment vertical="top" wrapText="1"/>
    </x:xf>
    <x:xf numFmtId="200" fontId="3" fillId="5" borderId="4" xfId="0" applyNumberFormat="1" applyFont="1" applyFill="1" applyBorder="1" applyAlignment="1">
      <x:alignment vertical="top" wrapText="1"/>
    </x:xf>
    <x:xf numFmtId="202" fontId="3" fillId="5" borderId="4" xfId="0" applyNumberFormat="1" applyFont="1" applyFill="1" applyBorder="1" applyAlignment="1">
      <x:alignment vertical="top" wrapText="1"/>
    </x:xf>
    <x:xf numFmtId="201" fontId="3" fillId="5" borderId="2" xfId="0" applyNumberFormat="1" applyFont="1" applyFill="1" applyBorder="1" applyAlignment="1">
      <x:alignment vertical="top" wrapText="1"/>
    </x:xf>
    <x:xf numFmtId="200" fontId="3" fillId="5" borderId="2" xfId="0" applyNumberFormat="1" applyFont="1" applyFill="1" applyBorder="1" applyAlignment="1">
      <x:alignment vertical="top" wrapText="1"/>
    </x:xf>
    <x:xf numFmtId="202" fontId="3" fillId="5" borderId="2" xfId="0" applyNumberFormat="1" applyFont="1" applyFill="1" applyBorder="1" applyAlignment="1">
      <x:alignment vertical="top" wrapText="1"/>
    </x:xf>
    <x:xf numFmtId="201" fontId="3" fillId="5" borderId="5" xfId="0" applyNumberFormat="1" applyFont="1" applyFill="1" applyBorder="1" applyAlignment="1">
      <x:alignment vertical="top" wrapText="1"/>
    </x:xf>
    <x:xf numFmtId="200" fontId="3" fillId="5" borderId="5" xfId="0" applyNumberFormat="1" applyFont="1" applyFill="1" applyBorder="1" applyAlignment="1">
      <x:alignment vertical="top" wrapText="1"/>
    </x:xf>
    <x:xf numFmtId="202" fontId="3" fillId="5" borderId="5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203" fontId="3" fillId="6" borderId="4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5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204" fontId="3" fillId="0" borderId="4" xfId="0" applyNumberFormat="1" applyFont="1" applyFill="1" applyBorder="1" applyAlignment="1">
      <x:alignment vertical="top" wrapText="1"/>
    </x:xf>
    <x:xf numFmtId="204" fontId="3" fillId="0" borderId="2" xfId="0" applyNumberFormat="1" applyFont="1" applyFill="1" applyBorder="1" applyAlignment="1">
      <x:alignment vertical="top" wrapText="1"/>
    </x:xf>
    <x:xf numFmtId="204" fontId="3" fillId="0" borderId="5" xfId="0" applyNumberFormat="1" applyFont="1" applyFill="1" applyBorder="1" applyAlignment="1">
      <x:alignment vertical="top" wrapText="1"/>
    </x:xf>
    <x:xf numFmtId="203" fontId="3" fillId="0" borderId="4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3" fillId="6" borderId="5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205" fontId="3" fillId="0" borderId="4" xfId="0" applyNumberFormat="1" applyFont="1" applyFill="1" applyBorder="1" applyAlignment="1">
      <x:alignment vertical="top" wrapText="1"/>
    </x:xf>
    <x:xf numFmtId="205" fontId="3" fillId="0" borderId="2" xfId="0" applyNumberFormat="1" applyFont="1" applyFill="1" applyBorder="1" applyAlignment="1">
      <x:alignment vertical="top" wrapText="1"/>
    </x:xf>
    <x:xf numFmtId="205" fontId="3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5" fontId="5" fillId="6" borderId="6" xfId="0" applyNumberFormat="1" applyFont="1" applyFill="1" applyBorder="1"/>
    <x:xf numFmtId="206" fontId="3" fillId="0" borderId="4" xfId="0" applyNumberFormat="1" applyFont="1" applyFill="1" applyBorder="1" applyAlignment="1">
      <x:alignment vertical="top" wrapText="1"/>
    </x:xf>
    <x:xf numFmtId="206" fontId="3" fillId="0" borderId="2" xfId="0" applyNumberFormat="1" applyFont="1" applyFill="1" applyBorder="1" applyAlignment="1">
      <x:alignment vertical="top" wrapText="1"/>
    </x:xf>
    <x:xf numFmtId="206" fontId="3" fillId="0" borderId="5" xfId="0" applyNumberFormat="1" applyFont="1" applyFill="1" applyBorder="1" applyAlignment="1">
      <x:alignment vertical="top" wrapText="1"/>
    </x:xf>
    <x:xf numFmtId="205" fontId="3" fillId="5" borderId="4" xfId="0" applyNumberFormat="1" applyFont="1" applyFill="1" applyBorder="1" applyAlignment="1">
      <x:alignment vertical="top" wrapText="1"/>
    </x:xf>
    <x:xf numFmtId="205" fontId="3" fillId="5" borderId="2" xfId="0" applyNumberFormat="1" applyFont="1" applyFill="1" applyBorder="1" applyAlignment="1">
      <x:alignment vertical="top" wrapText="1"/>
    </x:xf>
    <x:xf numFmtId="205" fontId="3" fillId="5" borderId="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44bc098c34144" /><Relationship Type="http://schemas.openxmlformats.org/officeDocument/2006/relationships/theme" Target="/xl/theme/theme1.xml" Id="R384c6cd7f6164201" /><Relationship Type="http://schemas.openxmlformats.org/officeDocument/2006/relationships/sharedStrings" Target="/xl/sharedStrings.xml" Id="R0bbc023ff1f24bd3" /><Relationship Type="http://schemas.openxmlformats.org/officeDocument/2006/relationships/worksheet" Target="/xl/worksheets/sheet1.xml" Id="R8857851cfb954800" /><Relationship Type="http://schemas.openxmlformats.org/officeDocument/2006/relationships/worksheet" Target="/xl/worksheets/sheet2.xml" Id="Rb7eaa636d05a46a6" /><Relationship Type="http://schemas.openxmlformats.org/officeDocument/2006/relationships/worksheet" Target="/xl/worksheets/sheet3.xml" Id="Rf9b23b8f1bf345d4" /><Relationship Type="http://schemas.openxmlformats.org/officeDocument/2006/relationships/worksheet" Target="/xl/worksheets/sheet4.xml" Id="R49b7c417156e45c5" /><Relationship Type="http://schemas.openxmlformats.org/officeDocument/2006/relationships/worksheet" Target="/xl/worksheets/sheet5.xml" Id="R33f1a70c0a1e4880" /><Relationship Type="http://schemas.openxmlformats.org/officeDocument/2006/relationships/worksheet" Target="/xl/worksheets/sheet6.xml" Id="R2959a3347a484745" /><Relationship Type="http://schemas.openxmlformats.org/officeDocument/2006/relationships/worksheet" Target="/xl/worksheets/sheet7.xml" Id="R1f8a93186f1a49ef" /><Relationship Type="http://schemas.openxmlformats.org/officeDocument/2006/relationships/worksheet" Target="/xl/worksheets/sheet8.xml" Id="R5eab07cfcf5c4234" /><Relationship Type="http://schemas.openxmlformats.org/officeDocument/2006/relationships/worksheet" Target="/xl/worksheets/sheet9.xml" Id="R5874c98190984111" /><Relationship Type="http://schemas.openxmlformats.org/officeDocument/2006/relationships/worksheet" Target="/xl/worksheets/sheet10.xml" Id="R5414c355faa845a3" /><Relationship Type="http://schemas.openxmlformats.org/officeDocument/2006/relationships/worksheet" Target="/xl/worksheets/sheet11.xml" Id="R5bf557a035f141e3" /><Relationship Type="http://schemas.openxmlformats.org/officeDocument/2006/relationships/worksheet" Target="/xl/worksheets/sheet12.xml" Id="R5a7ed465da914c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AI 产业机会｜投委会仪表盘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/>
    <x:row r="4" ht="26.399999618530273" hidden="0" customHeight="1">
      <x:c r="A4" s="13" t="str">
        <x:v>方向</x:v>
      </x:c>
      <x:c r="B4" s="14" t="str">
        <x:v>推荐指数</x:v>
      </x:c>
      <x:c r="C4" s="14" t="str">
        <x:v>投资方式</x:v>
      </x:c>
      <x:c r="D4" s="14" t="str">
        <x:v>M12客户</x:v>
      </x:c>
      <x:c r="E4" s="14" t="str">
        <x:v>M12收入</x:v>
      </x:c>
      <x:c r="F4" s="14" t="str">
        <x:v>M12 EBITDA</x:v>
      </x:c>
      <x:c r="G4" s="14" t="str">
        <x:v>M12现金</x:v>
      </x:c>
      <x:c r="H4" s="15" t="str">
        <x:v>决策</x:v>
      </x:c>
    </x:row>
    <x:row r="5" ht="39.599998474121094" hidden="0" customHeight="1">
      <x:c r="A5" s="23" t="str">
        <x:v>API 自动维护</x:v>
      </x:c>
      <x:c r="B5" s="57" t="n">
        <x:v>93</x:v>
      </x:c>
      <x:c r="C5" s="23" t="str">
        <x:v>控股孵化 / 少数股权</x:v>
      </x:c>
      <x:c r="D5" s="60" t="n">
        <x:f>'Operating_Model'!N5</x:f>
        <x:v>56.57701205539049</x:v>
      </x:c>
      <x:c r="E5" s="60" t="n">
        <x:f>'Operating_Model'!N6</x:f>
        <x:v>198019.5421938667</x:v>
      </x:c>
      <x:c r="F5" s="60" t="n">
        <x:f>'Operating_Model'!N8</x:f>
        <x:v>28415.633755093382</x:v>
      </x:c>
      <x:c r="G5" s="60" t="n">
        <x:f>'Operating_Model'!N9</x:f>
        <x:v>1442161.1752519798</x:v>
      </x:c>
      <x:c r="H5" s="23" t="str">
        <x:f>IF(G5&lt;0,"暂停/降本",IF(F5&gt;0,"进入追加评估","继续验证"))</x:f>
        <x:v>进入追加评估</x:v>
      </x:c>
    </x:row>
    <x:row r="6" ht="39.599998474121094" hidden="0" customHeight="1">
      <x:c r="A6" s="24" t="str">
        <x:v>AI 原生合规</x:v>
      </x:c>
      <x:c r="B6" s="58" t="n">
        <x:v>90</x:v>
      </x:c>
      <x:c r="C6" s="24" t="str">
        <x:v>产业合资 / 少数股权</x:v>
      </x:c>
      <x:c r="D6" s="50" t="n">
        <x:f>'Operating_Model'!N10</x:f>
        <x:v>15.5628464047076</x:v>
      </x:c>
      <x:c r="E6" s="50" t="n">
        <x:f>'Operating_Model'!N11</x:f>
        <x:v>404634.00652239757</x:v>
      </x:c>
      <x:c r="F6" s="50" t="n">
        <x:f>'Operating_Model'!N13</x:f>
        <x:v>85151.12443523033</x:v>
      </x:c>
      <x:c r="G6" s="50" t="n">
        <x:f>'Operating_Model'!N14</x:f>
        <x:v>2360634.9026737125</x:v>
      </x:c>
      <x:c r="H6" s="24" t="str">
        <x:f>IF(G6&lt;0,"暂停/降本",IF(F6&gt;0,"进入追加评估","继续验证"))</x:f>
        <x:v>进入追加评估</x:v>
      </x:c>
    </x:row>
    <x:row r="7" ht="39.599998474121094" hidden="0" customHeight="1">
      <x:c r="A7" s="25" t="str">
        <x:v>小软件专属云</x:v>
      </x:c>
      <x:c r="B7" s="59" t="n">
        <x:v>91</x:v>
      </x:c>
      <x:c r="C7" s="25" t="str">
        <x:v>控股孵化 / 产业合资</x:v>
      </x:c>
      <x:c r="D7" s="52" t="n">
        <x:f>'Operating_Model'!N15</x:f>
        <x:v>121.12078071421983</x:v>
      </x:c>
      <x:c r="E7" s="52" t="n">
        <x:f>'Operating_Model'!N16</x:f>
        <x:v>218017.4052855957</x:v>
      </x:c>
      <x:c r="F7" s="52" t="n">
        <x:f>'Operating_Model'!N18</x:f>
        <x:v>-136630.94925149024</x:v>
      </x:c>
      <x:c r="G7" s="52" t="n">
        <x:f>'Operating_Model'!N19</x:f>
        <x:v>1497348.0357783139</x:v>
      </x:c>
      <x:c r="H7" s="25" t="str">
        <x:f>IF(G7&lt;0,"暂停/降本",IF(F7&gt;0,"进入追加评估","继续验证"))</x:f>
        <x:v>继续验证</x:v>
      </x:c>
    </x:row>
    <x:row r="8"/>
    <x:row r="9"/>
    <x:row r="10" ht="16.799999237060547" hidden="0" customHeight="1">
      <x:c r="A10" s="61" t="str">
        <x:v>一页投资备忘录</x:v>
      </x:c>
      <x:c r="B10" s="61"/>
      <x:c r="C10" s="61"/>
      <x:c r="D10" s="61"/>
      <x:c r="E10" s="61"/>
      <x:c r="F10" s="61"/>
      <x:c r="G10" s="61"/>
      <x:c r="H10" s="61"/>
    </x:row>
    <x:row r="11" ht="26.399999618530273" hidden="0" customHeight="1">
      <x:c r="A11" s="63" t="str">
        <x:v>为什么现在投</x:v>
      </x:c>
      <x:c r="B11" s="23" t="str">
        <x:v>AI 应用成本下降，企业更愿意为可量化结果、合规和部署责任付费。</x:v>
      </x:c>
      <x:c r="C11" s="23"/>
      <x:c r="D11" s="23"/>
      <x:c r="E11" s="23"/>
      <x:c r="F11" s="23"/>
      <x:c r="G11" s="23"/>
      <x:c r="H11" s="23"/>
    </x:row>
    <x:row r="12" ht="26.399999618530273" hidden="0" customHeight="1">
      <x:c r="A12" s="64" t="str">
        <x:v>优先投什么</x:v>
      </x:c>
      <x:c r="B12" s="24" t="str">
        <x:v>API 自动维护、AI 原生合规、小软件专属云。</x:v>
      </x:c>
      <x:c r="C12" s="24"/>
      <x:c r="D12" s="24"/>
      <x:c r="E12" s="24"/>
      <x:c r="F12" s="24"/>
      <x:c r="G12" s="24"/>
      <x:c r="H12" s="24"/>
    </x:row>
    <x:row r="13" ht="15" hidden="0" customHeight="1">
      <x:c r="A13" s="64" t="str">
        <x:v>怎么投</x:v>
      </x:c>
      <x:c r="B13" s="24" t="str">
        <x:v>首笔只覆盖 3—6 个月验证；按回款、毛利、留存和权属里程碑追加。</x:v>
      </x:c>
      <x:c r="C13" s="24"/>
      <x:c r="D13" s="24"/>
      <x:c r="E13" s="24"/>
      <x:c r="F13" s="24"/>
      <x:c r="G13" s="24"/>
      <x:c r="H13" s="24"/>
    </x:row>
    <x:row r="14" ht="26.399999618530273" hidden="0" customHeight="1">
      <x:c r="A14" s="64" t="str">
        <x:v>12个月目标</x:v>
      </x:c>
      <x:c r="B14" s="24" t="str">
        <x:v>3 个付费试点、1 个标准套餐、可重复获客、达到模型毛利下限。</x:v>
      </x:c>
      <x:c r="C14" s="24"/>
      <x:c r="D14" s="24"/>
      <x:c r="E14" s="24"/>
      <x:c r="F14" s="24"/>
      <x:c r="G14" s="24"/>
      <x:c r="H14" s="24"/>
    </x:row>
    <x:row r="15" ht="15" hidden="0" customHeight="1">
      <x:c r="A15" s="64" t="str">
        <x:v>最大风险</x:v>
      </x:c>
      <x:c r="B15" s="24" t="str">
        <x:v>定制交付、模型成本、数据权属、销售周期、牌照与客户集中。</x:v>
      </x:c>
      <x:c r="C15" s="24"/>
      <x:c r="D15" s="24"/>
      <x:c r="E15" s="24"/>
      <x:c r="F15" s="24"/>
      <x:c r="G15" s="24"/>
      <x:c r="H15" s="24"/>
    </x:row>
    <x:row r="16" ht="15" hidden="0" customHeight="1">
      <x:c r="A16" s="64" t="str">
        <x:v>追加条件</x:v>
      </x:c>
      <x:c r="B16" s="24" t="str">
        <x:v>至少 1 个回款客户，客户使用频次可追踪，单位经济模型成立。</x:v>
      </x:c>
      <x:c r="C16" s="24"/>
      <x:c r="D16" s="24"/>
      <x:c r="E16" s="24"/>
      <x:c r="F16" s="24"/>
      <x:c r="G16" s="24"/>
      <x:c r="H16" s="24"/>
    </x:row>
    <x:row r="17" ht="15" hidden="0" customHeight="1">
      <x:c r="A17" s="65" t="str">
        <x:v>退出条件</x:v>
      </x:c>
      <x:c r="B17" s="25" t="str">
        <x:v>连续两次未完成里程碑，或出现重大合规、诚信、知识产权问题。</x:v>
      </x:c>
      <x:c r="C17" s="25"/>
      <x:c r="D17" s="25"/>
      <x:c r="E17" s="25"/>
      <x:c r="F17" s="25"/>
      <x:c r="G17" s="25"/>
      <x:c r="H17" s="25"/>
    </x:row>
    <x:row r="18"/>
    <x:row r="19"/>
    <x:row r="20" ht="26.399999618530273" hidden="0" customHeight="1">
      <x:c r="A20" s="37" t="str">
        <x:v>版本：2026-08-22｜模型假设，不构成投资建议｜所有真实交易需刷新官方披露和数据室材料</x:v>
      </x:c>
      <x:c r="B20" s="37"/>
      <x:c r="C20" s="37"/>
      <x:c r="D20" s="37"/>
      <x:c r="E20" s="37"/>
      <x:c r="F20" s="37"/>
      <x:c r="G20" s="37"/>
      <x:c r="H20" s="37"/>
    </x:row>
  </x:sheetData>
  <x:mergeCells>
    <x:mergeCell ref="A1:H2"/>
    <x:mergeCell ref="A10:H10"/>
    <x:mergeCell ref="B11:H11"/>
    <x:mergeCell ref="B12:H12"/>
    <x:mergeCell ref="B13:H13"/>
    <x:mergeCell ref="B14:H14"/>
    <x:mergeCell ref="B15:H15"/>
    <x:mergeCell ref="B16:H16"/>
    <x:mergeCell ref="B17:H17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0" customHeight="1">
      <x:c r="A1" s="4" t="str">
        <x:v>AI 投资决策模型｜可调经营假设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/>
    <x:row r="4" ht="39.599998474121094" hidden="0" customHeight="1">
      <x:c r="A4" s="13" t="str">
        <x:v>方向</x:v>
      </x:c>
      <x:c r="B4" s="14" t="str">
        <x:v>起始客户</x:v>
      </x:c>
      <x:c r="C4" s="14" t="str">
        <x:v>月新增客户</x:v>
      </x:c>
      <x:c r="D4" s="14" t="str">
        <x:v>月流失率</x:v>
      </x:c>
      <x:c r="E4" s="14" t="str">
        <x:v>月客单价(元)</x:v>
      </x:c>
      <x:c r="F4" s="14" t="str">
        <x:v>变动成本率</x:v>
      </x:c>
      <x:c r="G4" s="14" t="str">
        <x:v>月固定费用(元)</x:v>
      </x:c>
      <x:c r="H4" s="14" t="str">
        <x:v>初始现金(元)</x:v>
      </x:c>
      <x:c r="I4" s="14" t="str">
        <x:v>12个月预算上限(元)</x:v>
      </x:c>
      <x:c r="J4" s="15" t="str">
        <x:v>说明</x:v>
      </x:c>
    </x:row>
    <x:row r="5" ht="66" hidden="0" customHeight="1">
      <x:c r="A5" s="23" t="str">
        <x:v>API 自动维护</x:v>
      </x:c>
      <x:c r="B5" s="38" t="n">
        <x:v>8</x:v>
      </x:c>
      <x:c r="C5" s="38" t="n">
        <x:v>5</x:v>
      </x:c>
      <x:c r="D5" s="39" t="n">
        <x:v>0.03</x:v>
      </x:c>
      <x:c r="E5" s="40" t="n">
        <x:v>3500</x:v>
      </x:c>
      <x:c r="F5" s="39" t="n">
        <x:v>0.2</x:v>
      </x:c>
      <x:c r="G5" s="40" t="n">
        <x:v>130000</x:v>
      </x:c>
      <x:c r="H5" s="40" t="n">
        <x:v>1800000</x:v>
      </x:c>
      <x:c r="I5" s="40" t="n">
        <x:v>2200000</x:v>
      </x:c>
      <x:c r="J5" s="23" t="str">
        <x:v>轻资产 SaaS；假设值，需用真实报价校准</x:v>
      </x:c>
    </x:row>
    <x:row r="6" ht="66" hidden="0" customHeight="1">
      <x:c r="A6" s="24" t="str">
        <x:v>AI 原生合规</x:v>
      </x:c>
      <x:c r="B6" s="41" t="n">
        <x:v>2</x:v>
      </x:c>
      <x:c r="C6" s="41" t="n">
        <x:v>1.3</x:v>
      </x:c>
      <x:c r="D6" s="42" t="n">
        <x:v>0.02</x:v>
      </x:c>
      <x:c r="E6" s="43" t="n">
        <x:v>26000</x:v>
      </x:c>
      <x:c r="F6" s="42" t="n">
        <x:v>0.32</x:v>
      </x:c>
      <x:c r="G6" s="43" t="n">
        <x:v>190000</x:v>
      </x:c>
      <x:c r="H6" s="43" t="n">
        <x:v>2600000</x:v>
      </x:c>
      <x:c r="I6" s="43" t="n">
        <x:v>3200000</x:v>
      </x:c>
      <x:c r="J6" s="24" t="str">
        <x:v>企业合同；需关注实施与私有部署人天</x:v>
      </x:c>
    </x:row>
    <x:row r="7" ht="52.79999923706055" hidden="0" customHeight="1">
      <x:c r="A7" s="25" t="str">
        <x:v>小软件专属云</x:v>
      </x:c>
      <x:c r="B7" s="44" t="n">
        <x:v>20</x:v>
      </x:c>
      <x:c r="C7" s="44" t="n">
        <x:v>12</x:v>
      </x:c>
      <x:c r="D7" s="45" t="n">
        <x:v>0.05</x:v>
      </x:c>
      <x:c r="E7" s="46" t="n">
        <x:v>1800</x:v>
      </x:c>
      <x:c r="F7" s="45" t="n">
        <x:v>0.48</x:v>
      </x:c>
      <x:c r="G7" s="46" t="n">
        <x:v>250000</x:v>
      </x:c>
      <x:c r="H7" s="46" t="n">
        <x:v>3600000</x:v>
      </x:c>
      <x:c r="I7" s="46" t="n">
        <x:v>4500000</x:v>
      </x:c>
      <x:c r="J7" s="25" t="str">
        <x:v>资源成本敏感；需用云账单刷新</x:v>
      </x:c>
    </x:row>
    <x:row r="8"/>
    <x:row r="9"/>
    <x:row r="10" ht="26.399999618530273" hidden="0" customHeight="1">
      <x:c r="A10" s="37" t="str">
        <x:v>蓝色/绿色表头为结构，浅黄色单元格为可编辑假设。所有金额均为人民币，当前模型不是已实现财务数据。</x:v>
      </x:c>
      <x:c r="B10" s="37"/>
      <x:c r="C10" s="37"/>
      <x:c r="D10" s="37"/>
      <x:c r="E10" s="37"/>
      <x:c r="F10" s="37"/>
      <x:c r="G10" s="37"/>
      <x:c r="H10" s="37"/>
      <x:c r="I10" s="37"/>
      <x:c r="J10" s="37"/>
    </x:row>
  </x:sheetData>
  <x:mergeCells>
    <x:mergeCell ref="A1:J2"/>
    <x:mergeCell ref="A10:J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12 个月经营模型｜公式驱动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/>
    <x:row r="4" ht="15" hidden="0" customHeight="1">
      <x:c r="A4" s="13" t="str">
        <x:v>方向</x:v>
      </x:c>
      <x:c r="B4" s="14" t="str">
        <x:v>指标</x:v>
      </x:c>
      <x:c r="C4" s="14" t="str">
        <x:v>M1</x:v>
      </x:c>
      <x:c r="D4" s="14" t="str">
        <x:v>M2</x:v>
      </x:c>
      <x:c r="E4" s="14" t="str">
        <x:v>M3</x:v>
      </x:c>
      <x:c r="F4" s="14" t="str">
        <x:v>M4</x:v>
      </x:c>
      <x:c r="G4" s="14" t="str">
        <x:v>M5</x:v>
      </x:c>
      <x:c r="H4" s="14" t="str">
        <x:v>M6</x:v>
      </x:c>
      <x:c r="I4" s="14" t="str">
        <x:v>M7</x:v>
      </x:c>
      <x:c r="J4" s="14" t="str">
        <x:v>M8</x:v>
      </x:c>
      <x:c r="K4" s="14" t="str">
        <x:v>M9</x:v>
      </x:c>
      <x:c r="L4" s="14" t="str">
        <x:v>M10</x:v>
      </x:c>
      <x:c r="M4" s="14" t="str">
        <x:v>M11</x:v>
      </x:c>
      <x:c r="N4" s="15" t="str">
        <x:v>M12</x:v>
      </x:c>
    </x:row>
    <x:row r="5" ht="26.399999618530273" hidden="0" customHeight="1">
      <x:c r="A5" s="53" t="str">
        <x:v>API 自动维护</x:v>
      </x:c>
      <x:c r="B5" s="47" t="str">
        <x:v>期末客户数</x:v>
      </x:c>
      <x:c r="C5" s="49" t="n">
        <x:f>MAX(0,'Assumptions'!$B$5*(1-'Assumptions'!$D$5)+'Assumptions'!$C$5)</x:f>
        <x:v>12.76</x:v>
      </x:c>
      <x:c r="D5" s="49" t="n">
        <x:f>MAX(0,C5*(1-'Assumptions'!$D$5)+'Assumptions'!$C$5)</x:f>
        <x:v>17.377200000000002</x:v>
      </x:c>
      <x:c r="E5" s="49" t="n">
        <x:f>MAX(0,D5*(1-'Assumptions'!$D$5)+'Assumptions'!$C$5)</x:f>
        <x:v>21.855884000000003</x:v>
      </x:c>
      <x:c r="F5" s="49" t="n">
        <x:f>MAX(0,E5*(1-'Assumptions'!$D$5)+'Assumptions'!$C$5)</x:f>
        <x:v>26.200207480000003</x:v>
      </x:c>
      <x:c r="G5" s="49" t="n">
        <x:f>MAX(0,F5*(1-'Assumptions'!$D$5)+'Assumptions'!$C$5)</x:f>
        <x:v>30.414201255600002</x:v>
      </x:c>
      <x:c r="H5" s="49" t="n">
        <x:f>MAX(0,G5*(1-'Assumptions'!$D$5)+'Assumptions'!$C$5)</x:f>
        <x:v>34.501775217932</x:v>
      </x:c>
      <x:c r="I5" s="49" t="n">
        <x:f>MAX(0,H5*(1-'Assumptions'!$D$5)+'Assumptions'!$C$5)</x:f>
        <x:v>38.466721961394036</x:v>
      </x:c>
      <x:c r="J5" s="49" t="n">
        <x:f>MAX(0,I5*(1-'Assumptions'!$D$5)+'Assumptions'!$C$5)</x:f>
        <x:v>42.312720302552215</x:v>
      </x:c>
      <x:c r="K5" s="49" t="n">
        <x:f>MAX(0,J5*(1-'Assumptions'!$D$5)+'Assumptions'!$C$5)</x:f>
        <x:v>46.04333869347565</x:v>
      </x:c>
      <x:c r="L5" s="49" t="n">
        <x:f>MAX(0,K5*(1-'Assumptions'!$D$5)+'Assumptions'!$C$5)</x:f>
        <x:v>49.662038532671374</x:v>
      </x:c>
      <x:c r="M5" s="49" t="n">
        <x:f>MAX(0,L5*(1-'Assumptions'!$D$5)+'Assumptions'!$C$5)</x:f>
        <x:v>53.17217737669123</x:v>
      </x:c>
      <x:c r="N5" s="49" t="n">
        <x:f>MAX(0,M5*(1-'Assumptions'!$D$5)+'Assumptions'!$C$5)</x:f>
        <x:v>56.57701205539049</x:v>
      </x:c>
    </x:row>
    <x:row r="6" ht="26.399999618530273" hidden="0" customHeight="1">
      <x:c r="A6" s="54" t="str">
        <x:v>API 自动维护</x:v>
      </x:c>
      <x:c r="B6" s="24" t="str">
        <x:v>月收入</x:v>
      </x:c>
      <x:c r="C6" s="50" t="n">
        <x:f>C5*'Assumptions'!$E$5</x:f>
        <x:v>44660</x:v>
      </x:c>
      <x:c r="D6" s="50" t="n">
        <x:f>D5*'Assumptions'!$E$5</x:f>
        <x:v>60820.200000000004</x:v>
      </x:c>
      <x:c r="E6" s="50" t="n">
        <x:f>E5*'Assumptions'!$E$5</x:f>
        <x:v>76495.59400000001</x:v>
      </x:c>
      <x:c r="F6" s="50" t="n">
        <x:f>F5*'Assumptions'!$E$5</x:f>
        <x:v>91700.72618000001</x:v>
      </x:c>
      <x:c r="G6" s="50" t="n">
        <x:f>G5*'Assumptions'!$E$5</x:f>
        <x:v>106449.7043946</x:v>
      </x:c>
      <x:c r="H6" s="50" t="n">
        <x:f>H5*'Assumptions'!$E$5</x:f>
        <x:v>120756.213262762</x:v>
      </x:c>
      <x:c r="I6" s="50" t="n">
        <x:f>I5*'Assumptions'!$E$5</x:f>
        <x:v>134633.52686487912</x:v>
      </x:c>
      <x:c r="J6" s="50" t="n">
        <x:f>J5*'Assumptions'!$E$5</x:f>
        <x:v>148094.52105893276</x:v>
      </x:c>
      <x:c r="K6" s="50" t="n">
        <x:f>K5*'Assumptions'!$E$5</x:f>
        <x:v>161151.68542716478</x:v>
      </x:c>
      <x:c r="L6" s="50" t="n">
        <x:f>L5*'Assumptions'!$E$5</x:f>
        <x:v>173817.13486434982</x:v>
      </x:c>
      <x:c r="M6" s="50" t="n">
        <x:f>M5*'Assumptions'!$E$5</x:f>
        <x:v>186102.6208184193</x:v>
      </x:c>
      <x:c r="N6" s="50" t="n">
        <x:f>N5*'Assumptions'!$E$5</x:f>
        <x:v>198019.5421938667</x:v>
      </x:c>
    </x:row>
    <x:row r="7" ht="26.399999618530273" hidden="0" customHeight="1">
      <x:c r="A7" s="54" t="str">
        <x:v>API 自动维护</x:v>
      </x:c>
      <x:c r="B7" s="24" t="str">
        <x:v>毛利</x:v>
      </x:c>
      <x:c r="C7" s="50" t="n">
        <x:f>C6*(1-'Assumptions'!$F$5)</x:f>
        <x:v>35728</x:v>
      </x:c>
      <x:c r="D7" s="50" t="n">
        <x:f>D6*(1-'Assumptions'!$F$5)</x:f>
        <x:v>48656.16</x:v>
      </x:c>
      <x:c r="E7" s="50" t="n">
        <x:f>E6*(1-'Assumptions'!$F$5)</x:f>
        <x:v>61196.475200000015</x:v>
      </x:c>
      <x:c r="F7" s="50" t="n">
        <x:f>F6*(1-'Assumptions'!$F$5)</x:f>
        <x:v>73360.58094400002</x:v>
      </x:c>
      <x:c r="G7" s="50" t="n">
        <x:f>G6*(1-'Assumptions'!$F$5)</x:f>
        <x:v>85159.76351568001</x:v>
      </x:c>
      <x:c r="H7" s="50" t="n">
        <x:f>H6*(1-'Assumptions'!$F$5)</x:f>
        <x:v>96604.97061020961</x:v>
      </x:c>
      <x:c r="I7" s="50" t="n">
        <x:f>I6*(1-'Assumptions'!$F$5)</x:f>
        <x:v>107706.8214919033</x:v>
      </x:c>
      <x:c r="J7" s="50" t="n">
        <x:f>J6*(1-'Assumptions'!$F$5)</x:f>
        <x:v>118475.61684714622</x:v>
      </x:c>
      <x:c r="K7" s="50" t="n">
        <x:f>K6*(1-'Assumptions'!$F$5)</x:f>
        <x:v>128921.34834173182</x:v>
      </x:c>
      <x:c r="L7" s="50" t="n">
        <x:f>L6*(1-'Assumptions'!$F$5)</x:f>
        <x:v>139053.70789147986</x:v>
      </x:c>
      <x:c r="M7" s="50" t="n">
        <x:f>M6*(1-'Assumptions'!$F$5)</x:f>
        <x:v>148882.09665473545</x:v>
      </x:c>
      <x:c r="N7" s="50" t="n">
        <x:f>N6*(1-'Assumptions'!$F$5)</x:f>
        <x:v>158415.63375509338</x:v>
      </x:c>
    </x:row>
    <x:row r="8" ht="26.399999618530273" hidden="0" customHeight="1">
      <x:c r="A8" s="54" t="str">
        <x:v>API 自动维护</x:v>
      </x:c>
      <x:c r="B8" s="24" t="str">
        <x:v>EBITDA</x:v>
      </x:c>
      <x:c r="C8" s="50" t="n">
        <x:f>C7-'Assumptions'!$G$5</x:f>
        <x:v>-94272</x:v>
      </x:c>
      <x:c r="D8" s="50" t="n">
        <x:f>D7-'Assumptions'!$G$5</x:f>
        <x:v>-81343.84</x:v>
      </x:c>
      <x:c r="E8" s="50" t="n">
        <x:f>E7-'Assumptions'!$G$5</x:f>
        <x:v>-68803.52479999998</x:v>
      </x:c>
      <x:c r="F8" s="50" t="n">
        <x:f>F7-'Assumptions'!$G$5</x:f>
        <x:v>-56639.419055999984</x:v>
      </x:c>
      <x:c r="G8" s="50" t="n">
        <x:f>G7-'Assumptions'!$G$5</x:f>
        <x:v>-44840.23648431999</x:v>
      </x:c>
      <x:c r="H8" s="50" t="n">
        <x:f>H7-'Assumptions'!$G$5</x:f>
        <x:v>-33395.02938979039</x:v>
      </x:c>
      <x:c r="I8" s="50" t="n">
        <x:f>I7-'Assumptions'!$G$5</x:f>
        <x:v>-22293.178508096695</x:v>
      </x:c>
      <x:c r="J8" s="50" t="n">
        <x:f>J7-'Assumptions'!$G$5</x:f>
        <x:v>-11524.383152853785</x:v>
      </x:c>
      <x:c r="K8" s="50" t="n">
        <x:f>K7-'Assumptions'!$G$5</x:f>
        <x:v>-1078.6516582681797</x:v>
      </x:c>
      <x:c r="L8" s="50" t="n">
        <x:f>L7-'Assumptions'!$G$5</x:f>
        <x:v>9053.707891479862</x:v>
      </x:c>
      <x:c r="M8" s="50" t="n">
        <x:f>M7-'Assumptions'!$G$5</x:f>
        <x:v>18882.096654735447</x:v>
      </x:c>
      <x:c r="N8" s="50" t="n">
        <x:f>N7-'Assumptions'!$G$5</x:f>
        <x:v>28415.633755093382</x:v>
      </x:c>
    </x:row>
    <x:row r="9" ht="26.399999618530273" hidden="0" customHeight="1">
      <x:c r="A9" s="54" t="str">
        <x:v>API 自动维护</x:v>
      </x:c>
      <x:c r="B9" s="24" t="str">
        <x:v>期末现金</x:v>
      </x:c>
      <x:c r="C9" s="50" t="n">
        <x:f>'Assumptions'!$H$5+C8</x:f>
        <x:v>1705728</x:v>
      </x:c>
      <x:c r="D9" s="50" t="n">
        <x:f>C9+D8</x:f>
        <x:v>1624384.16</x:v>
      </x:c>
      <x:c r="E9" s="50" t="n">
        <x:f>D9+E8</x:f>
        <x:v>1555580.6352</x:v>
      </x:c>
      <x:c r="F9" s="50" t="n">
        <x:f>E9+F8</x:f>
        <x:v>1498941.216144</x:v>
      </x:c>
      <x:c r="G9" s="50" t="n">
        <x:f>F9+G8</x:f>
        <x:v>1454100.97965968</x:v>
      </x:c>
      <x:c r="H9" s="50" t="n">
        <x:f>G9+H8</x:f>
        <x:v>1420705.9502698896</x:v>
      </x:c>
      <x:c r="I9" s="50" t="n">
        <x:f>H9+I8</x:f>
        <x:v>1398412.771761793</x:v>
      </x:c>
      <x:c r="J9" s="50" t="n">
        <x:f>I9+J8</x:f>
        <x:v>1386888.3886089392</x:v>
      </x:c>
      <x:c r="K9" s="50" t="n">
        <x:f>J9+K8</x:f>
        <x:v>1385809.736950671</x:v>
      </x:c>
      <x:c r="L9" s="50" t="n">
        <x:f>K9+L8</x:f>
        <x:v>1394863.444842151</x:v>
      </x:c>
      <x:c r="M9" s="50" t="n">
        <x:f>L9+M8</x:f>
        <x:v>1413745.5414968864</x:v>
      </x:c>
      <x:c r="N9" s="50" t="n">
        <x:f>M9+N8</x:f>
        <x:v>1442161.1752519798</x:v>
      </x:c>
    </x:row>
    <x:row r="10" ht="26.399999618530273" hidden="0" customHeight="1">
      <x:c r="A10" s="55" t="str">
        <x:v>AI 原生合规</x:v>
      </x:c>
      <x:c r="B10" s="48" t="str">
        <x:v>期末客户数</x:v>
      </x:c>
      <x:c r="C10" s="51" t="n">
        <x:f>MAX(0,'Assumptions'!$B$6*(1-'Assumptions'!$D$6)+'Assumptions'!$C$6)</x:f>
        <x:v>3.26</x:v>
      </x:c>
      <x:c r="D10" s="51" t="n">
        <x:f>MAX(0,C10*(1-'Assumptions'!$D$6)+'Assumptions'!$C$6)</x:f>
        <x:v>4.4948</x:v>
      </x:c>
      <x:c r="E10" s="51" t="n">
        <x:f>MAX(0,D10*(1-'Assumptions'!$D$6)+'Assumptions'!$C$6)</x:f>
        <x:v>5.704903999999999</x:v>
      </x:c>
      <x:c r="F10" s="51" t="n">
        <x:f>MAX(0,E10*(1-'Assumptions'!$D$6)+'Assumptions'!$C$6)</x:f>
        <x:v>6.890805919999999</x:v>
      </x:c>
      <x:c r="G10" s="51" t="n">
        <x:f>MAX(0,F10*(1-'Assumptions'!$D$6)+'Assumptions'!$C$6)</x:f>
        <x:v>8.052989801599999</x:v>
      </x:c>
      <x:c r="H10" s="51" t="n">
        <x:f>MAX(0,G10*(1-'Assumptions'!$D$6)+'Assumptions'!$C$6)</x:f>
        <x:v>9.191930005567999</x:v>
      </x:c>
      <x:c r="I10" s="51" t="n">
        <x:f>MAX(0,H10*(1-'Assumptions'!$D$6)+'Assumptions'!$C$6)</x:f>
        <x:v>10.30809140545664</x:v>
      </x:c>
      <x:c r="J10" s="51" t="n">
        <x:f>MAX(0,I10*(1-'Assumptions'!$D$6)+'Assumptions'!$C$6)</x:f>
        <x:v>11.401929577347508</x:v>
      </x:c>
      <x:c r="K10" s="51" t="n">
        <x:f>MAX(0,J10*(1-'Assumptions'!$D$6)+'Assumptions'!$C$6)</x:f>
        <x:v>12.473890985800558</x:v>
      </x:c>
      <x:c r="L10" s="51" t="n">
        <x:f>MAX(0,K10*(1-'Assumptions'!$D$6)+'Assumptions'!$C$6)</x:f>
        <x:v>13.524413166084548</x:v>
      </x:c>
      <x:c r="M10" s="51" t="n">
        <x:f>MAX(0,L10*(1-'Assumptions'!$D$6)+'Assumptions'!$C$6)</x:f>
        <x:v>14.553924902762857</x:v>
      </x:c>
      <x:c r="N10" s="51" t="n">
        <x:f>MAX(0,M10*(1-'Assumptions'!$D$6)+'Assumptions'!$C$6)</x:f>
        <x:v>15.5628464047076</x:v>
      </x:c>
    </x:row>
    <x:row r="11" ht="26.399999618530273" hidden="0" customHeight="1">
      <x:c r="A11" s="54" t="str">
        <x:v>AI 原生合规</x:v>
      </x:c>
      <x:c r="B11" s="24" t="str">
        <x:v>月收入</x:v>
      </x:c>
      <x:c r="C11" s="50" t="n">
        <x:f>C10*'Assumptions'!$E$6</x:f>
        <x:v>84760</x:v>
      </x:c>
      <x:c r="D11" s="50" t="n">
        <x:f>D10*'Assumptions'!$E$6</x:f>
        <x:v>116864.79999999999</x:v>
      </x:c>
      <x:c r="E11" s="50" t="n">
        <x:f>E10*'Assumptions'!$E$6</x:f>
        <x:v>148327.504</x:v>
      </x:c>
      <x:c r="F11" s="50" t="n">
        <x:f>F10*'Assumptions'!$E$6</x:f>
        <x:v>179160.95391999997</x:v>
      </x:c>
      <x:c r="G11" s="50" t="n">
        <x:f>G10*'Assumptions'!$E$6</x:f>
        <x:v>209377.73484159997</x:v>
      </x:c>
      <x:c r="H11" s="50" t="n">
        <x:f>H10*'Assumptions'!$E$6</x:f>
        <x:v>238990.18014476798</x:v>
      </x:c>
      <x:c r="I11" s="50" t="n">
        <x:f>I10*'Assumptions'!$E$6</x:f>
        <x:v>268010.3765418726</x:v>
      </x:c>
      <x:c r="J11" s="50" t="n">
        <x:f>J10*'Assumptions'!$E$6</x:f>
        <x:v>296450.1690110352</x:v>
      </x:c>
      <x:c r="K11" s="50" t="n">
        <x:f>K10*'Assumptions'!$E$6</x:f>
        <x:v>324321.1656308145</x:v>
      </x:c>
      <x:c r="L11" s="50" t="n">
        <x:f>L10*'Assumptions'!$E$6</x:f>
        <x:v>351634.74231819826</x:v>
      </x:c>
      <x:c r="M11" s="50" t="n">
        <x:f>M10*'Assumptions'!$E$6</x:f>
        <x:v>378402.0474718343</x:v>
      </x:c>
      <x:c r="N11" s="50" t="n">
        <x:f>N10*'Assumptions'!$E$6</x:f>
        <x:v>404634.00652239757</x:v>
      </x:c>
    </x:row>
    <x:row r="12" ht="26.399999618530273" hidden="0" customHeight="1">
      <x:c r="A12" s="54" t="str">
        <x:v>AI 原生合规</x:v>
      </x:c>
      <x:c r="B12" s="24" t="str">
        <x:v>毛利</x:v>
      </x:c>
      <x:c r="C12" s="50" t="n">
        <x:f>C11*(1-'Assumptions'!$F$6)</x:f>
        <x:v>57636.799999999996</x:v>
      </x:c>
      <x:c r="D12" s="50" t="n">
        <x:f>D11*(1-'Assumptions'!$F$6)</x:f>
        <x:v>79468.06399999998</x:v>
      </x:c>
      <x:c r="E12" s="50" t="n">
        <x:f>E11*(1-'Assumptions'!$F$6)</x:f>
        <x:v>100862.70271999999</x:v>
      </x:c>
      <x:c r="F12" s="50" t="n">
        <x:f>F11*(1-'Assumptions'!$F$6)</x:f>
        <x:v>121829.44866559996</x:v>
      </x:c>
      <x:c r="G12" s="50" t="n">
        <x:f>G11*(1-'Assumptions'!$F$6)</x:f>
        <x:v>142376.85969228798</x:v>
      </x:c>
      <x:c r="H12" s="50" t="n">
        <x:f>H11*(1-'Assumptions'!$F$6)</x:f>
        <x:v>162513.3224984422</x:v>
      </x:c>
      <x:c r="I12" s="50" t="n">
        <x:f>I11*(1-'Assumptions'!$F$6)</x:f>
        <x:v>182247.05604847337</x:v>
      </x:c>
      <x:c r="J12" s="50" t="n">
        <x:f>J11*(1-'Assumptions'!$F$6)</x:f>
        <x:v>201586.1149275039</x:v>
      </x:c>
      <x:c r="K12" s="50" t="n">
        <x:f>K11*(1-'Assumptions'!$F$6)</x:f>
        <x:v>220538.39262895385</x:v>
      </x:c>
      <x:c r="L12" s="50" t="n">
        <x:f>L11*(1-'Assumptions'!$F$6)</x:f>
        <x:v>239111.62477637478</x:v>
      </x:c>
      <x:c r="M12" s="50" t="n">
        <x:f>M11*(1-'Assumptions'!$F$6)</x:f>
        <x:v>257313.3922808473</x:v>
      </x:c>
      <x:c r="N12" s="50" t="n">
        <x:f>N11*(1-'Assumptions'!$F$6)</x:f>
        <x:v>275151.12443523033</x:v>
      </x:c>
    </x:row>
    <x:row r="13" ht="26.399999618530273" hidden="0" customHeight="1">
      <x:c r="A13" s="54" t="str">
        <x:v>AI 原生合规</x:v>
      </x:c>
      <x:c r="B13" s="24" t="str">
        <x:v>EBITDA</x:v>
      </x:c>
      <x:c r="C13" s="50" t="n">
        <x:f>C12-'Assumptions'!$G$6</x:f>
        <x:v>-132363.2</x:v>
      </x:c>
      <x:c r="D13" s="50" t="n">
        <x:f>D12-'Assumptions'!$G$6</x:f>
        <x:v>-110531.93600000002</x:v>
      </x:c>
      <x:c r="E13" s="50" t="n">
        <x:f>E12-'Assumptions'!$G$6</x:f>
        <x:v>-89137.29728000001</x:v>
      </x:c>
      <x:c r="F13" s="50" t="n">
        <x:f>F12-'Assumptions'!$G$6</x:f>
        <x:v>-68170.55133440004</x:v>
      </x:c>
      <x:c r="G13" s="50" t="n">
        <x:f>G12-'Assumptions'!$G$6</x:f>
        <x:v>-47623.14030771202</x:v>
      </x:c>
      <x:c r="H13" s="50" t="n">
        <x:f>H12-'Assumptions'!$G$6</x:f>
        <x:v>-27486.677501557802</x:v>
      </x:c>
      <x:c r="I13" s="50" t="n">
        <x:f>I12-'Assumptions'!$G$6</x:f>
        <x:v>-7752.943951526628</x:v>
      </x:c>
      <x:c r="J13" s="50" t="n">
        <x:f>J12-'Assumptions'!$G$6</x:f>
        <x:v>11586.114927503892</x:v>
      </x:c>
      <x:c r="K13" s="50" t="n">
        <x:f>K12-'Assumptions'!$G$6</x:f>
        <x:v>30538.39262895385</x:v>
      </x:c>
      <x:c r="L13" s="50" t="n">
        <x:f>L12-'Assumptions'!$G$6</x:f>
        <x:v>49111.62477637478</x:v>
      </x:c>
      <x:c r="M13" s="50" t="n">
        <x:f>M12-'Assumptions'!$G$6</x:f>
        <x:v>67313.3922808473</x:v>
      </x:c>
      <x:c r="N13" s="50" t="n">
        <x:f>N12-'Assumptions'!$G$6</x:f>
        <x:v>85151.12443523033</x:v>
      </x:c>
    </x:row>
    <x:row r="14" ht="26.399999618530273" hidden="0" customHeight="1">
      <x:c r="A14" s="54" t="str">
        <x:v>AI 原生合规</x:v>
      </x:c>
      <x:c r="B14" s="24" t="str">
        <x:v>期末现金</x:v>
      </x:c>
      <x:c r="C14" s="50" t="n">
        <x:f>'Assumptions'!$H$6+C13</x:f>
        <x:v>2467636.8</x:v>
      </x:c>
      <x:c r="D14" s="50" t="n">
        <x:f>C14+D13</x:f>
        <x:v>2357104.8639999996</x:v>
      </x:c>
      <x:c r="E14" s="50" t="n">
        <x:f>D14+E13</x:f>
        <x:v>2267967.5667199995</x:v>
      </x:c>
      <x:c r="F14" s="50" t="n">
        <x:f>E14+F13</x:f>
        <x:v>2199797.0153855993</x:v>
      </x:c>
      <x:c r="G14" s="50" t="n">
        <x:f>F14+G13</x:f>
        <x:v>2152173.8750778874</x:v>
      </x:c>
      <x:c r="H14" s="50" t="n">
        <x:f>G14+H13</x:f>
        <x:v>2124687.1975763296</x:v>
      </x:c>
      <x:c r="I14" s="50" t="n">
        <x:f>H14+I13</x:f>
        <x:v>2116934.253624803</x:v>
      </x:c>
      <x:c r="J14" s="50" t="n">
        <x:f>I14+J13</x:f>
        <x:v>2128520.3685523067</x:v>
      </x:c>
      <x:c r="K14" s="50" t="n">
        <x:f>J14+K13</x:f>
        <x:v>2159058.7611812605</x:v>
      </x:c>
      <x:c r="L14" s="50" t="n">
        <x:f>K14+L13</x:f>
        <x:v>2208170.385957635</x:v>
      </x:c>
      <x:c r="M14" s="50" t="n">
        <x:f>L14+M13</x:f>
        <x:v>2275483.7782384823</x:v>
      </x:c>
      <x:c r="N14" s="50" t="n">
        <x:f>M14+N13</x:f>
        <x:v>2360634.9026737125</x:v>
      </x:c>
    </x:row>
    <x:row r="15" ht="26.399999618530273" hidden="0" customHeight="1">
      <x:c r="A15" s="55" t="str">
        <x:v>小软件专属云</x:v>
      </x:c>
      <x:c r="B15" s="48" t="str">
        <x:v>期末客户数</x:v>
      </x:c>
      <x:c r="C15" s="51" t="n">
        <x:f>MAX(0,'Assumptions'!$B$7*(1-'Assumptions'!$D$7)+'Assumptions'!$C$7)</x:f>
        <x:v>31</x:v>
      </x:c>
      <x:c r="D15" s="51" t="n">
        <x:f>MAX(0,C15*(1-'Assumptions'!$D$7)+'Assumptions'!$C$7)</x:f>
        <x:v>41.45</x:v>
      </x:c>
      <x:c r="E15" s="51" t="n">
        <x:f>MAX(0,D15*(1-'Assumptions'!$D$7)+'Assumptions'!$C$7)</x:f>
        <x:v>51.3775</x:v>
      </x:c>
      <x:c r="F15" s="51" t="n">
        <x:f>MAX(0,E15*(1-'Assumptions'!$D$7)+'Assumptions'!$C$7)</x:f>
        <x:v>60.80862499999999</x:v>
      </x:c>
      <x:c r="G15" s="51" t="n">
        <x:f>MAX(0,F15*(1-'Assumptions'!$D$7)+'Assumptions'!$C$7)</x:f>
        <x:v>69.76819375</x:v>
      </x:c>
      <x:c r="H15" s="51" t="n">
        <x:f>MAX(0,G15*(1-'Assumptions'!$D$7)+'Assumptions'!$C$7)</x:f>
        <x:v>78.27978406249998</x:v>
      </x:c>
      <x:c r="I15" s="51" t="n">
        <x:f>MAX(0,H15*(1-'Assumptions'!$D$7)+'Assumptions'!$C$7)</x:f>
        <x:v>86.36579485937499</x:v>
      </x:c>
      <x:c r="J15" s="51" t="n">
        <x:f>MAX(0,I15*(1-'Assumptions'!$D$7)+'Assumptions'!$C$7)</x:f>
        <x:v>94.04750511640623</x:v>
      </x:c>
      <x:c r="K15" s="51" t="n">
        <x:f>MAX(0,J15*(1-'Assumptions'!$D$7)+'Assumptions'!$C$7)</x:f>
        <x:v>101.34512986058591</x:v>
      </x:c>
      <x:c r="L15" s="51" t="n">
        <x:f>MAX(0,K15*(1-'Assumptions'!$D$7)+'Assumptions'!$C$7)</x:f>
        <x:v>108.27787336755661</x:v>
      </x:c>
      <x:c r="M15" s="51" t="n">
        <x:f>MAX(0,L15*(1-'Assumptions'!$D$7)+'Assumptions'!$C$7)</x:f>
        <x:v>114.86397969917877</x:v>
      </x:c>
      <x:c r="N15" s="51" t="n">
        <x:f>MAX(0,M15*(1-'Assumptions'!$D$7)+'Assumptions'!$C$7)</x:f>
        <x:v>121.12078071421983</x:v>
      </x:c>
    </x:row>
    <x:row r="16" ht="26.399999618530273" hidden="0" customHeight="1">
      <x:c r="A16" s="54" t="str">
        <x:v>小软件专属云</x:v>
      </x:c>
      <x:c r="B16" s="24" t="str">
        <x:v>月收入</x:v>
      </x:c>
      <x:c r="C16" s="50" t="n">
        <x:f>C15*'Assumptions'!$E$7</x:f>
        <x:v>55800</x:v>
      </x:c>
      <x:c r="D16" s="50" t="n">
        <x:f>D15*'Assumptions'!$E$7</x:f>
        <x:v>74610</x:v>
      </x:c>
      <x:c r="E16" s="50" t="n">
        <x:f>E15*'Assumptions'!$E$7</x:f>
        <x:v>92479.5</x:v>
      </x:c>
      <x:c r="F16" s="50" t="n">
        <x:f>F15*'Assumptions'!$E$7</x:f>
        <x:v>109455.52499999998</x:v>
      </x:c>
      <x:c r="G16" s="50" t="n">
        <x:f>G15*'Assumptions'!$E$7</x:f>
        <x:v>125582.74874999998</x:v>
      </x:c>
      <x:c r="H16" s="50" t="n">
        <x:f>H15*'Assumptions'!$E$7</x:f>
        <x:v>140903.61131249997</x:v>
      </x:c>
      <x:c r="I16" s="50" t="n">
        <x:f>I15*'Assumptions'!$E$7</x:f>
        <x:v>155458.43074687498</x:v>
      </x:c>
      <x:c r="J16" s="50" t="n">
        <x:f>J15*'Assumptions'!$E$7</x:f>
        <x:v>169285.5092095312</x:v>
      </x:c>
      <x:c r="K16" s="50" t="n">
        <x:f>K15*'Assumptions'!$E$7</x:f>
        <x:v>182421.23374905463</x:v>
      </x:c>
      <x:c r="L16" s="50" t="n">
        <x:f>L15*'Assumptions'!$E$7</x:f>
        <x:v>194900.1720616019</x:v>
      </x:c>
      <x:c r="M16" s="50" t="n">
        <x:f>M15*'Assumptions'!$E$7</x:f>
        <x:v>206755.1634585218</x:v>
      </x:c>
      <x:c r="N16" s="50" t="n">
        <x:f>N15*'Assumptions'!$E$7</x:f>
        <x:v>218017.4052855957</x:v>
      </x:c>
    </x:row>
    <x:row r="17" ht="26.399999618530273" hidden="0" customHeight="1">
      <x:c r="A17" s="54" t="str">
        <x:v>小软件专属云</x:v>
      </x:c>
      <x:c r="B17" s="24" t="str">
        <x:v>毛利</x:v>
      </x:c>
      <x:c r="C17" s="50" t="n">
        <x:f>C16*(1-'Assumptions'!$F$7)</x:f>
        <x:v>29016</x:v>
      </x:c>
      <x:c r="D17" s="50" t="n">
        <x:f>D16*(1-'Assumptions'!$F$7)</x:f>
        <x:v>38797.200000000004</x:v>
      </x:c>
      <x:c r="E17" s="50" t="n">
        <x:f>E16*(1-'Assumptions'!$F$7)</x:f>
        <x:v>48089.340000000004</x:v>
      </x:c>
      <x:c r="F17" s="50" t="n">
        <x:f>F16*(1-'Assumptions'!$F$7)</x:f>
        <x:v>56916.87299999999</x:v>
      </x:c>
      <x:c r="G17" s="50" t="n">
        <x:f>G16*(1-'Assumptions'!$F$7)</x:f>
        <x:v>65303.02935</x:v>
      </x:c>
      <x:c r="H17" s="50" t="n">
        <x:f>H16*(1-'Assumptions'!$F$7)</x:f>
        <x:v>73269.87788249999</x:v>
      </x:c>
      <x:c r="I17" s="50" t="n">
        <x:f>I16*(1-'Assumptions'!$F$7)</x:f>
        <x:v>80838.38398837499</x:v>
      </x:c>
      <x:c r="J17" s="50" t="n">
        <x:f>J16*(1-'Assumptions'!$F$7)</x:f>
        <x:v>88028.46478895623</x:v>
      </x:c>
      <x:c r="K17" s="50" t="n">
        <x:f>K16*(1-'Assumptions'!$F$7)</x:f>
        <x:v>94859.04154950842</x:v>
      </x:c>
      <x:c r="L17" s="50" t="n">
        <x:f>L16*(1-'Assumptions'!$F$7)</x:f>
        <x:v>101348.08947203298</x:v>
      </x:c>
      <x:c r="M17" s="50" t="n">
        <x:f>M16*(1-'Assumptions'!$F$7)</x:f>
        <x:v>107512.68499843134</x:v>
      </x:c>
      <x:c r="N17" s="50" t="n">
        <x:f>N16*(1-'Assumptions'!$F$7)</x:f>
        <x:v>113369.05074850978</x:v>
      </x:c>
    </x:row>
    <x:row r="18" ht="26.399999618530273" hidden="0" customHeight="1">
      <x:c r="A18" s="54" t="str">
        <x:v>小软件专属云</x:v>
      </x:c>
      <x:c r="B18" s="24" t="str">
        <x:v>EBITDA</x:v>
      </x:c>
      <x:c r="C18" s="50" t="n">
        <x:f>C17-'Assumptions'!$G$7</x:f>
        <x:v>-220984</x:v>
      </x:c>
      <x:c r="D18" s="50" t="n">
        <x:f>D17-'Assumptions'!$G$7</x:f>
        <x:v>-211202.8</x:v>
      </x:c>
      <x:c r="E18" s="50" t="n">
        <x:f>E17-'Assumptions'!$G$7</x:f>
        <x:v>-201910.66</x:v>
      </x:c>
      <x:c r="F18" s="50" t="n">
        <x:f>F17-'Assumptions'!$G$7</x:f>
        <x:v>-193083.127</x:v>
      </x:c>
      <x:c r="G18" s="50" t="n">
        <x:f>G17-'Assumptions'!$G$7</x:f>
        <x:v>-184696.97065</x:v>
      </x:c>
      <x:c r="H18" s="50" t="n">
        <x:f>H17-'Assumptions'!$G$7</x:f>
        <x:v>-176730.1221175</x:v>
      </x:c>
      <x:c r="I18" s="50" t="n">
        <x:f>I17-'Assumptions'!$G$7</x:f>
        <x:v>-169161.616011625</x:v>
      </x:c>
      <x:c r="J18" s="50" t="n">
        <x:f>J17-'Assumptions'!$G$7</x:f>
        <x:v>-161971.53521104378</x:v>
      </x:c>
      <x:c r="K18" s="50" t="n">
        <x:f>K17-'Assumptions'!$G$7</x:f>
        <x:v>-155140.9584504916</x:v>
      </x:c>
      <x:c r="L18" s="50" t="n">
        <x:f>L17-'Assumptions'!$G$7</x:f>
        <x:v>-148651.91052796703</x:v>
      </x:c>
      <x:c r="M18" s="50" t="n">
        <x:f>M17-'Assumptions'!$G$7</x:f>
        <x:v>-142487.31500156864</x:v>
      </x:c>
      <x:c r="N18" s="50" t="n">
        <x:f>N17-'Assumptions'!$G$7</x:f>
        <x:v>-136630.94925149024</x:v>
      </x:c>
    </x:row>
    <x:row r="19" ht="26.399999618530273" hidden="0" customHeight="1">
      <x:c r="A19" s="56" t="str">
        <x:v>小软件专属云</x:v>
      </x:c>
      <x:c r="B19" s="25" t="str">
        <x:v>期末现金</x:v>
      </x:c>
      <x:c r="C19" s="52" t="n">
        <x:f>'Assumptions'!$H$7+C18</x:f>
        <x:v>3379016</x:v>
      </x:c>
      <x:c r="D19" s="52" t="n">
        <x:f>C19+D18</x:f>
        <x:v>3167813.2</x:v>
      </x:c>
      <x:c r="E19" s="52" t="n">
        <x:f>D19+E18</x:f>
        <x:v>2965902.54</x:v>
      </x:c>
      <x:c r="F19" s="52" t="n">
        <x:f>E19+F18</x:f>
        <x:v>2772819.413</x:v>
      </x:c>
      <x:c r="G19" s="52" t="n">
        <x:f>F19+G18</x:f>
        <x:v>2588122.44235</x:v>
      </x:c>
      <x:c r="H19" s="52" t="n">
        <x:f>G19+H18</x:f>
        <x:v>2411392.3202325003</x:v>
      </x:c>
      <x:c r="I19" s="52" t="n">
        <x:f>H19+I18</x:f>
        <x:v>2242230.704220875</x:v>
      </x:c>
      <x:c r="J19" s="52" t="n">
        <x:f>I19+J18</x:f>
        <x:v>2080259.1690098313</x:v>
      </x:c>
      <x:c r="K19" s="52" t="n">
        <x:f>J19+K18</x:f>
        <x:v>1925118.2105593397</x:v>
      </x:c>
      <x:c r="L19" s="52" t="n">
        <x:f>K19+L18</x:f>
        <x:v>1776466.3000313728</x:v>
      </x:c>
      <x:c r="M19" s="52" t="n">
        <x:f>L19+M18</x:f>
        <x:v>1633978.985029804</x:v>
      </x:c>
      <x:c r="N19" s="52" t="n">
        <x:f>M19+N18</x:f>
        <x:v>1497348.0357783139</x:v>
      </x:c>
    </x:row>
  </x:sheetData>
  <x:mergeCells>
    <x:mergeCell ref="A1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16" hidden="0" customWidth="1"/>
  </x:cols>
  <x:sheetData>
    <x:row r="1" ht="30" customHeight="1">
      <x:c r="A1" s="4" t="str">
        <x:v>13 个方向｜投资方式与阶段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/>
    <x:row r="4" ht="26.399999618530273" hidden="0" customHeight="1">
      <x:c r="A4" s="13" t="str">
        <x:v>方向</x:v>
      </x:c>
      <x:c r="B4" s="14" t="str">
        <x:v>层级</x:v>
      </x:c>
      <x:c r="C4" s="14" t="str">
        <x:v>指数</x:v>
      </x:c>
      <x:c r="D4" s="14" t="str">
        <x:v>建议投资方式</x:v>
      </x:c>
      <x:c r="E4" s="14" t="str">
        <x:v>阶段</x:v>
      </x:c>
      <x:c r="F4" s="14" t="str">
        <x:v>探索预算权重</x:v>
      </x:c>
      <x:c r="G4" s="14" t="str">
        <x:v>12月目标</x:v>
      </x:c>
      <x:c r="H4" s="14" t="str">
        <x:v>主要闸门</x:v>
      </x:c>
      <x:c r="I4" s="15" t="str">
        <x:v>负责人</x:v>
      </x:c>
    </x:row>
    <x:row r="5" ht="39.599998474121094" hidden="0" customHeight="1">
      <x:c r="A5" s="23" t="str">
        <x:v>AI 私人老师</x:v>
      </x:c>
      <x:c r="B5" s="23" t="str">
        <x:v>应用层</x:v>
      </x:c>
      <x:c r="C5" s="57" t="n">
        <x:v>88</x:v>
      </x:c>
      <x:c r="D5" s="23" t="str">
        <x:v>控股孵化</x:v>
      </x:c>
      <x:c r="E5" s="23" t="str">
        <x:v>小步试点</x:v>
      </x:c>
      <x:c r="F5" s="66" t="n">
        <x:v>0.05</x:v>
      </x:c>
      <x:c r="G5" s="23" t="str">
        <x:v>付费学校/家庭试点</x:v>
      </x:c>
      <x:c r="H5" s="23" t="str">
        <x:v>学习效果与续费</x:v>
      </x:c>
      <x:c r="I5" s="23" t="str">
        <x:v>待定</x:v>
      </x:c>
    </x:row>
    <x:row r="6" ht="39.599998474121094" hidden="0" customHeight="1">
      <x:c r="A6" s="24" t="str">
        <x:v>国防科技</x:v>
      </x:c>
      <x:c r="B6" s="24" t="str">
        <x:v>基础设施层</x:v>
      </x:c>
      <x:c r="C6" s="58" t="n">
        <x:v>72</x:v>
      </x:c>
      <x:c r="D6" s="24" t="str">
        <x:v>战略合作/订单融资</x:v>
      </x:c>
      <x:c r="E6" s="24" t="str">
        <x:v>研究储备</x:v>
      </x:c>
      <x:c r="F6" s="67" t="n">
        <x:v>0.02</x:v>
      </x:c>
      <x:c r="G6" s="24" t="str">
        <x:v>锚定客户与合规路径</x:v>
      </x:c>
      <x:c r="H6" s="24" t="str">
        <x:v>准入与采购周期</x:v>
      </x:c>
      <x:c r="I6" s="24" t="str">
        <x:v>待定</x:v>
      </x:c>
    </x:row>
    <x:row r="7" ht="39.599998474121094" hidden="0" customHeight="1">
      <x:c r="A7" s="24" t="str">
        <x:v>小软件专属云</x:v>
      </x:c>
      <x:c r="B7" s="24" t="str">
        <x:v>平台层</x:v>
      </x:c>
      <x:c r="C7" s="58" t="n">
        <x:v>91</x:v>
      </x:c>
      <x:c r="D7" s="24" t="str">
        <x:v>控股孵化/产业合资</x:v>
      </x:c>
      <x:c r="E7" s="24" t="str">
        <x:v>立即验证</x:v>
      </x:c>
      <x:c r="F7" s="67" t="n">
        <x:v>0.15</x:v>
      </x:c>
      <x:c r="G7" s="24" t="str">
        <x:v>MRR与资源毛利</x:v>
      </x:c>
      <x:c r="H7" s="24" t="str">
        <x:v>资源成本与留存</x:v>
      </x:c>
      <x:c r="I7" s="24" t="str">
        <x:v>待定</x:v>
      </x:c>
    </x:row>
    <x:row r="8" ht="26.399999618530273" hidden="0" customHeight="1">
      <x:c r="A8" s="24" t="str">
        <x:v>多人协作 AI</x:v>
      </x:c>
      <x:c r="B8" s="24" t="str">
        <x:v>应用层</x:v>
      </x:c>
      <x:c r="C8" s="58" t="n">
        <x:v>84</x:v>
      </x:c>
      <x:c r="D8" s="24" t="str">
        <x:v>少数股权</x:v>
      </x:c>
      <x:c r="E8" s="24" t="str">
        <x:v>验证留存</x:v>
      </x:c>
      <x:c r="F8" s="67" t="n">
        <x:v>0.05</x:v>
      </x:c>
      <x:c r="G8" s="24" t="str">
        <x:v>团队活跃与留存</x:v>
      </x:c>
      <x:c r="H8" s="24" t="str">
        <x:v>协作网络效应</x:v>
      </x:c>
      <x:c r="I8" s="24" t="str">
        <x:v>待定</x:v>
      </x:c>
    </x:row>
    <x:row r="9" ht="39.599998474121094" hidden="0" customHeight="1">
      <x:c r="A9" s="24" t="str">
        <x:v>海上数据中心</x:v>
      </x:c>
      <x:c r="B9" s="24" t="str">
        <x:v>基础设施层</x:v>
      </x:c>
      <x:c r="C9" s="58" t="n">
        <x:v>61</x:v>
      </x:c>
      <x:c r="D9" s="24" t="str">
        <x:v>联合研究/项目公司</x:v>
      </x:c>
      <x:c r="E9" s="24" t="str">
        <x:v>战略期权</x:v>
      </x:c>
      <x:c r="F9" s="67" t="n">
        <x:v>0.01</x:v>
      </x:c>
      <x:c r="G9" s="24" t="str">
        <x:v>工程与能源测算</x:v>
      </x:c>
      <x:c r="H9" s="24" t="str">
        <x:v>重资产与审批</x:v>
      </x:c>
      <x:c r="I9" s="24" t="str">
        <x:v>待定</x:v>
      </x:c>
    </x:row>
    <x:row r="10" ht="26.399999618530273" hidden="0" customHeight="1">
      <x:c r="A10" s="24" t="str">
        <x:v>十亿级 AI 消费产品</x:v>
      </x:c>
      <x:c r="B10" s="24" t="str">
        <x:v>应用层</x:v>
      </x:c>
      <x:c r="C10" s="58" t="n">
        <x:v>76</x:v>
      </x:c>
      <x:c r="D10" s="24" t="str">
        <x:v>小额期权投资</x:v>
      </x:c>
      <x:c r="E10" s="24" t="str">
        <x:v>传播验证</x:v>
      </x:c>
      <x:c r="F10" s="67" t="n">
        <x:v>0.03</x:v>
      </x:c>
      <x:c r="G10" s="24" t="str">
        <x:v>低成本增长实验</x:v>
      </x:c>
      <x:c r="H10" s="24" t="str">
        <x:v>留存和获客成本</x:v>
      </x:c>
      <x:c r="I10" s="24" t="str">
        <x:v>待定</x:v>
      </x:c>
    </x:row>
    <x:row r="11" ht="39.599998474121094" hidden="0" customHeight="1">
      <x:c r="A11" s="24" t="str">
        <x:v>银发 AI 服务</x:v>
      </x:c>
      <x:c r="B11" s="24" t="str">
        <x:v>应用层</x:v>
      </x:c>
      <x:c r="C11" s="58" t="n">
        <x:v>86</x:v>
      </x:c>
      <x:c r="D11" s="24" t="str">
        <x:v>产业合资</x:v>
      </x:c>
      <x:c r="E11" s="24" t="str">
        <x:v>场景试点</x:v>
      </x:c>
      <x:c r="F11" s="67" t="n">
        <x:v>0.08</x:v>
      </x:c>
      <x:c r="G11" s="24" t="str">
        <x:v>护理/家庭付费试点</x:v>
      </x:c>
      <x:c r="H11" s="24" t="str">
        <x:v>责任与交付成本</x:v>
      </x:c>
      <x:c r="I11" s="24" t="str">
        <x:v>待定</x:v>
      </x:c>
    </x:row>
    <x:row r="12" ht="39.599998474121094" hidden="0" customHeight="1">
      <x:c r="A12" s="24" t="str">
        <x:v>现实世界操作系统</x:v>
      </x:c>
      <x:c r="B12" s="24" t="str">
        <x:v>平台层</x:v>
      </x:c>
      <x:c r="C12" s="58" t="n">
        <x:v>89</x:v>
      </x:c>
      <x:c r="D12" s="24" t="str">
        <x:v>产业合资/少数股权</x:v>
      </x:c>
      <x:c r="E12" s="24" t="str">
        <x:v>产业协同</x:v>
      </x:c>
      <x:c r="F12" s="67" t="n">
        <x:v>0.1</x:v>
      </x:c>
      <x:c r="G12" s="24" t="str">
        <x:v>一个闭环行业场景</x:v>
      </x:c>
      <x:c r="H12" s="24" t="str">
        <x:v>现场集成毛利</x:v>
      </x:c>
      <x:c r="I12" s="24" t="str">
        <x:v>待定</x:v>
      </x:c>
    </x:row>
    <x:row r="13" ht="26.399999618530273" hidden="0" customHeight="1">
      <x:c r="A13" s="24" t="str">
        <x:v>加密货币基础设施</x:v>
      </x:c>
      <x:c r="B13" s="24" t="str">
        <x:v>平台层</x:v>
      </x:c>
      <x:c r="C13" s="58" t="n">
        <x:v>64</x:v>
      </x:c>
      <x:c r="D13" s="24" t="str">
        <x:v>持牌合资/研究</x:v>
      </x:c>
      <x:c r="E13" s="24" t="str">
        <x:v>牌照优先</x:v>
      </x:c>
      <x:c r="F13" s="67" t="n">
        <x:v>0.01</x:v>
      </x:c>
      <x:c r="G13" s="24" t="str">
        <x:v>一个合规走廊</x:v>
      </x:c>
      <x:c r="H13" s="24" t="str">
        <x:v>牌照与银行通道</x:v>
      </x:c>
      <x:c r="I13" s="24" t="str">
        <x:v>待定</x:v>
      </x:c>
    </x:row>
    <x:row r="14" ht="39.599998474121094" hidden="0" customHeight="1">
      <x:c r="A14" s="24" t="str">
        <x:v>现实世界数据采集</x:v>
      </x:c>
      <x:c r="B14" s="24" t="str">
        <x:v>基础设施层</x:v>
      </x:c>
      <x:c r="C14" s="58" t="n">
        <x:v>82</x:v>
      </x:c>
      <x:c r="D14" s="24" t="str">
        <x:v>产业合资/订单融资</x:v>
      </x:c>
      <x:c r="E14" s="24" t="str">
        <x:v>客户绑定</x:v>
      </x:c>
      <x:c r="F14" s="67" t="n">
        <x:v>0.08</x:v>
      </x:c>
      <x:c r="G14" s="24" t="str">
        <x:v>长期数据合同</x:v>
      </x:c>
      <x:c r="H14" s="24" t="str">
        <x:v>设备与采集成本</x:v>
      </x:c>
      <x:c r="I14" s="24" t="str">
        <x:v>待定</x:v>
      </x:c>
    </x:row>
    <x:row r="15" ht="39.599998474121094" hidden="0" customHeight="1">
      <x:c r="A15" s="24" t="str">
        <x:v>真人验证系统</x:v>
      </x:c>
      <x:c r="B15" s="24" t="str">
        <x:v>平台层</x:v>
      </x:c>
      <x:c r="C15" s="58" t="n">
        <x:v>78</x:v>
      </x:c>
      <x:c r="D15" s="24" t="str">
        <x:v>标准合作/可转工具</x:v>
      </x:c>
      <x:c r="E15" s="24" t="str">
        <x:v>等待标准</x:v>
      </x:c>
      <x:c r="F15" s="67" t="n">
        <x:v>0.04</x:v>
      </x:c>
      <x:c r="G15" s="24" t="str">
        <x:v>身份验证试点</x:v>
      </x:c>
      <x:c r="H15" s="24" t="str">
        <x:v>隐私与标准</x:v>
      </x:c>
      <x:c r="I15" s="24" t="str">
        <x:v>待定</x:v>
      </x:c>
    </x:row>
    <x:row r="16" ht="39.599998474121094" hidden="0" customHeight="1">
      <x:c r="A16" s="24" t="str">
        <x:v>AI 原生合规系统</x:v>
      </x:c>
      <x:c r="B16" s="24" t="str">
        <x:v>应用层</x:v>
      </x:c>
      <x:c r="C16" s="58" t="n">
        <x:v>90</x:v>
      </x:c>
      <x:c r="D16" s="24" t="str">
        <x:v>产业合资/少数股权</x:v>
      </x:c>
      <x:c r="E16" s="24" t="str">
        <x:v>立即验证</x:v>
      </x:c>
      <x:c r="F16" s="67" t="n">
        <x:v>0.15</x:v>
      </x:c>
      <x:c r="G16" s="24" t="str">
        <x:v>年度企业合同</x:v>
      </x:c>
      <x:c r="H16" s="24" t="str">
        <x:v>认证与回款</x:v>
      </x:c>
      <x:c r="I16" s="24" t="str">
        <x:v>待定</x:v>
      </x:c>
    </x:row>
    <x:row r="17" ht="39.599998474121094" hidden="0" customHeight="1">
      <x:c r="A17" s="25" t="str">
        <x:v>API 自动维护工具</x:v>
      </x:c>
      <x:c r="B17" s="25" t="str">
        <x:v>应用层</x:v>
      </x:c>
      <x:c r="C17" s="59" t="n">
        <x:v>93</x:v>
      </x:c>
      <x:c r="D17" s="25" t="str">
        <x:v>控股孵化/少数股权</x:v>
      </x:c>
      <x:c r="E17" s="25" t="str">
        <x:v>立即验证</x:v>
      </x:c>
      <x:c r="F17" s="68" t="n">
        <x:v>0.23</x:v>
      </x:c>
      <x:c r="G17" s="25" t="str">
        <x:v>PR合并率与回款</x:v>
      </x:c>
      <x:c r="H17" s="25" t="str">
        <x:v>测试通过率</x:v>
      </x:c>
      <x:c r="I17" s="25" t="str">
        <x:v>待定</x:v>
      </x:c>
    </x:row>
    <x:row r="18" ht="15" hidden="0" customHeight="1">
      <x:c r="A18" s="71" t="str">
        <x:v>探索预算权重合计</x:v>
      </x:c>
      <x:c r="B18" s="71"/>
      <x:c r="C18" s="71"/>
      <x:c r="D18" s="71"/>
      <x:c r="E18" s="71"/>
      <x:c r="F18" s="72" t="n">
        <x:f>SUM(F5:F17)</x:f>
        <x:v>1.0000000000000002</x:v>
      </x:c>
      <x:c r="G18" s="71"/>
      <x:c r="H18" s="71"/>
      <x:c r="I18" s="71"/>
    </x:row>
  </x:sheetData>
  <x:mergeCells>
    <x:mergeCell ref="A1:I2"/>
    <x:mergeCell ref="A18:E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30" customHeight="1">
      <x:c r="A1" s="4" t="str">
        <x:v>三条资本主线｜90 天验证与投资闸门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/>
    <x:row r="4" ht="26.399999618530273" hidden="0" customHeight="1">
      <x:c r="A4" s="13" t="str">
        <x:v>资本主线</x:v>
      </x:c>
      <x:c r="B4" s="14" t="str">
        <x:v>首要付费方</x:v>
      </x:c>
      <x:c r="C4" s="14" t="str">
        <x:v>最小切入产品</x:v>
      </x:c>
      <x:c r="D4" s="14" t="str">
        <x:v>建议投资方式</x:v>
      </x:c>
      <x:c r="E4" s="14" t="str">
        <x:v>90天必须证据</x:v>
      </x:c>
      <x:c r="F4" s="14" t="str">
        <x:v>单位经济核心</x:v>
      </x:c>
      <x:c r="G4" s="14" t="str">
        <x:v>尽调重点</x:v>
      </x:c>
      <x:c r="H4" s="15" t="str">
        <x:v>停止条件</x:v>
      </x:c>
    </x:row>
    <x:row r="5" ht="105.5999984741211" hidden="0" customHeight="1">
      <x:c r="A5" s="23" t="str">
        <x:v>Token 出海 / 跨境数字服务</x:v>
      </x:c>
      <x:c r="B5" s="23" t="str">
        <x:v>海外开发者、跨境商户、持牌支付机构</x:v>
      </x:c>
      <x:c r="C5" s="23" t="str">
        <x:v>合规 API 路由、计量计费、企业钱包、结算与审计</x:v>
      </x:c>
      <x:c r="D5" s="23" t="str">
        <x:v>少数股权 / 产业合资；按回款、毛利、牌照里程碑追加</x:v>
      </x:c>
      <x:c r="E5" s="23" t="str">
        <x:v>跑通一个国家与一个行业的付费闭环；形成成本、时延、毛利与合规清单</x:v>
      </x:c>
      <x:c r="F5" s="23" t="str">
        <x:v>每百万 Token 贡献毛利、通道路由成本、拒付与坏账率</x:v>
      </x:c>
      <x:c r="G5" s="23" t="str">
        <x:v>模型许可、数据跨境、制裁筛查、资金隔离、税务与银行通道</x:v>
      </x:c>
      <x:c r="H5" s="23" t="str">
        <x:v>牌照、数据跨境、模型许可或资金通道任一无法闭环</x:v>
      </x:c>
    </x:row>
    <x:row r="6" ht="105.5999984741211" hidden="0" customHeight="1">
      <x:c r="A6" s="24" t="str">
        <x:v>芯片与存储交易 / 供应链 OS</x:v>
      </x:c>
      <x:c r="B6" s="24" t="str">
        <x:v>服务器厂商、系统集成商、数据中心与制造企业</x:v>
      </x:c>
      <x:c r="C6" s="24" t="str">
        <x:v>库存、交期、认证、质保、价格、回收和合规风控系统</x:v>
      </x:c>
      <x:c r="D6" s="24" t="str">
        <x:v>订单融资 / 项目公司；库存周转、应收和客户集中设硬闸门</x:v>
      </x:c>
      <x:c r="E6" s="24" t="str">
        <x:v>核验20个SKU、3个渠道、2个买方和1笔可追溯订单</x:v>
      </x:c>
      <x:c r="F6" s="24" t="str">
        <x:v>单笔毛利、库存周转天数、应收账龄、价格波动损失</x:v>
      </x:c>
      <x:c r="G6" s="24" t="str">
        <x:v>货权、序列号、原厂/代理授权、最终用户、出口管制与质保责任</x:v>
      </x:c>
      <x:c r="H6" s="24" t="str">
        <x:v>货权不清、来源不可追溯、无保障先款后货或规避受限品监管</x:v>
      </x:c>
    </x:row>
    <x:row r="7" ht="105.5999984741211" hidden="0" customHeight="1">
      <x:c r="A7" s="25" t="str">
        <x:v>大模型公司股权投资</x:v>
      </x:c>
      <x:c r="B7" s="25" t="str">
        <x:v>产业资本、成长基金、战略合作方</x:v>
      </x:c>
      <x:c r="C7" s="25" t="str">
        <x:v>模型层、算力层、数据层、行业应用层的公司筛选与数据室</x:v>
      </x:c>
      <x:c r="D7" s="25" t="str">
        <x:v>少数股权 / 可转工具 / 战略合作权；分批交割并争取信息权</x:v>
      </x:c>
      <x:c r="E7" s="25" t="str">
        <x:v>完成官方材料、客户交叉访谈、技术评测、财务与股权数据室核验</x:v>
      </x:c>
      <x:c r="F7" s="25" t="str">
        <x:v>推理单位成本、收入增速、续费、毛利、现金消耗与融资稀释</x:v>
      </x:c>
      <x:c r="G7" s="25" t="str">
        <x:v>收入质量、客户集中、关联交易、知识产权、治理与退出路径</x:v>
      </x:c>
      <x:c r="H7" s="25" t="str">
        <x:v>估值仅靠传闻、关联交易不透明、收入质量差或关键权属不清</x:v>
      </x:c>
    </x:row>
    <x:row r="8"/>
    <x:row r="9"/>
    <x:row r="10" ht="26.399999618530273" hidden="0" customHeight="1">
      <x:c r="A10" s="37" t="str">
        <x:v>说明：本表为投资研究与尽调框架，不构成证券推荐；交易前必须刷新官方披露、合同、银行流水、税务、牌照和股权文件。</x:v>
      </x:c>
      <x:c r="B10" s="37"/>
      <x:c r="C10" s="37"/>
      <x:c r="D10" s="37"/>
      <x:c r="E10" s="37"/>
      <x:c r="F10" s="37"/>
      <x:c r="G10" s="37"/>
      <x:c r="H10" s="37"/>
    </x:row>
  </x:sheetData>
  <x:mergeCells>
    <x:mergeCell ref="A1:H2"/>
    <x:mergeCell ref="A10:H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2" hidden="0" customWidth="1"/>
    <x:col min="5" max="5" width="32" hidden="0" customWidth="1"/>
    <x:col min="6" max="6" width="20" hidden="0" customWidth="1"/>
    <x:col min="7" max="7" width="20" hidden="0" customWidth="1"/>
  </x:cols>
  <x:sheetData>
    <x:row r="1" ht="30" customHeight="1">
      <x:c r="A1" s="4" t="str">
        <x:v>13 个方向｜证据成熟度与投委会缺口</x:v>
      </x:c>
      <x:c r="B1" s="4"/>
      <x:c r="C1" s="4"/>
      <x:c r="D1" s="4"/>
      <x:c r="E1" s="4"/>
      <x:c r="F1" s="4"/>
      <x:c r="G1" s="4"/>
    </x:row>
    <x:row r="2" ht="30" customHeight="1">
      <x:c r="A2" s="4"/>
      <x:c r="B2" s="4"/>
      <x:c r="C2" s="4"/>
      <x:c r="D2" s="4"/>
      <x:c r="E2" s="4"/>
      <x:c r="F2" s="4"/>
      <x:c r="G2" s="4"/>
    </x:row>
    <x:row r="3"/>
    <x:row r="4" ht="26.399999618530273" hidden="0" customHeight="1">
      <x:c r="A4" s="13" t="str">
        <x:v>方向</x:v>
      </x:c>
      <x:c r="B4" s="14" t="str">
        <x:v>证据等级</x:v>
      </x:c>
      <x:c r="C4" s="14" t="str">
        <x:v>可靠锚点</x:v>
      </x:c>
      <x:c r="D4" s="14" t="str">
        <x:v>关键缺口</x:v>
      </x:c>
      <x:c r="E4" s="14" t="str">
        <x:v>投委会前补齐</x:v>
      </x:c>
      <x:c r="F4" s="14" t="str">
        <x:v>负责人</x:v>
      </x:c>
      <x:c r="G4" s="15" t="str">
        <x:v>刷新日期</x:v>
      </x:c>
    </x:row>
    <x:row r="5" ht="52.79999923706055" hidden="0" customHeight="1">
      <x:c r="A5" s="23" t="str">
        <x:v>AI 私人老师</x:v>
      </x:c>
      <x:c r="B5" s="23" t="str">
        <x:v>B-/C</x:v>
      </x:c>
      <x:c r="C5" s="23" t="str">
        <x:v>备案、教育数据与未成年人规则</x:v>
      </x:c>
      <x:c r="D5" s="23" t="str">
        <x:v>学习效果、续费、学校采购周期</x:v>
      </x:c>
      <x:c r="E5" s="23" t="str">
        <x:v>对照试验、4周留存、10个付费家庭</x:v>
      </x:c>
      <x:c r="F5" s="23" t="str">
        <x:v>待定</x:v>
      </x:c>
      <x:c r="G5" s="73"/>
    </x:row>
    <x:row r="6" ht="52.79999923706055" hidden="0" customHeight="1">
      <x:c r="A6" s="24" t="str">
        <x:v>国防科技</x:v>
      </x:c>
      <x:c r="B6" s="24" t="str">
        <x:v>C</x:v>
      </x:c>
      <x:c r="C6" s="24" t="str">
        <x:v>双用途技术、出口管制与采购制度</x:v>
      </x:c>
      <x:c r="D6" s="24" t="str">
        <x:v>资质、最终用户与测试标准</x:v>
      </x:c>
      <x:c r="E6" s="24" t="str">
        <x:v>合规合作方、非敏感订单与测试报告</x:v>
      </x:c>
      <x:c r="F6" s="24" t="str">
        <x:v>待定</x:v>
      </x:c>
      <x:c r="G6" s="74"/>
    </x:row>
    <x:row r="7" ht="66" hidden="0" customHeight="1">
      <x:c r="A7" s="24" t="str">
        <x:v>小软件专属云</x:v>
      </x:c>
      <x:c r="B7" s="24" t="str">
        <x:v>B</x:v>
      </x:c>
      <x:c r="C7" s="24" t="str">
        <x:v>云价格、部署与安全产品说明</x:v>
      </x:c>
      <x:c r="D7" s="24" t="str">
        <x:v>资源毛利、支持人时与故障责任</x:v>
      </x:c>
      <x:c r="E7" s="24" t="str">
        <x:v>20个项目云账单、工单、5个付费客户</x:v>
      </x:c>
      <x:c r="F7" s="24" t="str">
        <x:v>待定</x:v>
      </x:c>
      <x:c r="G7" s="74"/>
    </x:row>
    <x:row r="8" ht="52.79999923706055" hidden="0" customHeight="1">
      <x:c r="A8" s="24" t="str">
        <x:v>多人协作 AI</x:v>
      </x:c>
      <x:c r="B8" s="24" t="str">
        <x:v>B-/C</x:v>
      </x:c>
      <x:c r="C8" s="24" t="str">
        <x:v>公开产品和企业协作案例</x:v>
      </x:c>
      <x:c r="D8" s="24" t="str">
        <x:v>团队留存、席位扩张、网络效应</x:v>
      </x:c>
      <x:c r="E8" s="24" t="str">
        <x:v>3个团队连续6周协作和双边访谈</x:v>
      </x:c>
      <x:c r="F8" s="24" t="str">
        <x:v>待定</x:v>
      </x:c>
      <x:c r="G8" s="74"/>
    </x:row>
    <x:row r="9" ht="66" hidden="0" customHeight="1">
      <x:c r="A9" s="24" t="str">
        <x:v>海上数据中心</x:v>
      </x:c>
      <x:c r="B9" s="24" t="str">
        <x:v>C/D</x:v>
      </x:c>
      <x:c r="C9" s="24" t="str">
        <x:v>能源、能效及海域审批政策</x:v>
      </x:c>
      <x:c r="D9" s="24" t="str">
        <x:v>工程造价、网络、保险与残值</x:v>
      </x:c>
      <x:c r="E9" s="24" t="str">
        <x:v>第三方工程、PUE、并网和生命周期测算</x:v>
      </x:c>
      <x:c r="F9" s="24" t="str">
        <x:v>待定</x:v>
      </x:c>
      <x:c r="G9" s="74"/>
    </x:row>
    <x:row r="10" ht="52.79999923706055" hidden="0" customHeight="1">
      <x:c r="A10" s="24" t="str">
        <x:v>十亿级 AI 消费产品</x:v>
      </x:c>
      <x:c r="B10" s="24" t="str">
        <x:v>B-/C</x:v>
      </x:c>
      <x:c r="C10" s="24" t="str">
        <x:v>应用商店、订阅价与公开榜单</x:v>
      </x:c>
      <x:c r="D10" s="24" t="str">
        <x:v>D30留存、传播、付费与版权</x:v>
      </x:c>
      <x:c r="E10" s="24" t="str">
        <x:v>分群留存、CAC/LTV和权属清单</x:v>
      </x:c>
      <x:c r="F10" s="24" t="str">
        <x:v>待定</x:v>
      </x:c>
      <x:c r="G10" s="74"/>
    </x:row>
    <x:row r="11" ht="52.79999923706055" hidden="0" customHeight="1">
      <x:c r="A11" s="24" t="str">
        <x:v>银发 AI 服务</x:v>
      </x:c>
      <x:c r="B11" s="24" t="str">
        <x:v>B-/C</x:v>
      </x:c>
      <x:c r="C11" s="24" t="str">
        <x:v>养老政策与服务目录</x:v>
      </x:c>
      <x:c r="D11" s="24" t="str">
        <x:v>误报、责任边界与线下成本</x:v>
      </x:c>
      <x:c r="E11" s="24" t="str">
        <x:v>50户试点、准确率、响应和事故复盘</x:v>
      </x:c>
      <x:c r="F11" s="24" t="str">
        <x:v>待定</x:v>
      </x:c>
      <x:c r="G11" s="74"/>
    </x:row>
    <x:row r="12" ht="52.79999923706055" hidden="0" customHeight="1">
      <x:c r="A12" s="24" t="str">
        <x:v>现实世界操作系统</x:v>
      </x:c>
      <x:c r="B12" s="24" t="str">
        <x:v>B-/C</x:v>
      </x:c>
      <x:c r="C12" s="24" t="str">
        <x:v>工业物流物业数字化项目</x:v>
      </x:c>
      <x:c r="D12" s="24" t="str">
        <x:v>集成人天、复用率和现场毛利</x:v>
      </x:c>
      <x:c r="E12" s="24" t="str">
        <x:v>闭环场景工时、停机、回款和复购</x:v>
      </x:c>
      <x:c r="F12" s="24" t="str">
        <x:v>待定</x:v>
      </x:c>
      <x:c r="G12" s="74"/>
    </x:row>
    <x:row r="13" ht="52.79999923706055" hidden="0" customHeight="1">
      <x:c r="A13" s="24" t="str">
        <x:v>加密货币基础设施</x:v>
      </x:c>
      <x:c r="B13" s="24" t="str">
        <x:v>B-/C</x:v>
      </x:c>
      <x:c r="C13" s="24" t="str">
        <x:v>目标地牌照、AML与支付监管</x:v>
      </x:c>
      <x:c r="D13" s="24" t="str">
        <x:v>银行通道、隔离、税务与资金流</x:v>
      </x:c>
      <x:c r="E13" s="24" t="str">
        <x:v>法律意见、通道协议和KYC/AML测试</x:v>
      </x:c>
      <x:c r="F13" s="24" t="str">
        <x:v>待定</x:v>
      </x:c>
      <x:c r="G13" s="74"/>
    </x:row>
    <x:row r="14" ht="66" hidden="0" customHeight="1">
      <x:c r="A14" s="24" t="str">
        <x:v>现实世界数据采集</x:v>
      </x:c>
      <x:c r="B14" s="24" t="str">
        <x:v>B-/C</x:v>
      </x:c>
      <x:c r="C14" s="24" t="str">
        <x:v>数据规范、设备参数与招采文件</x:v>
      </x:c>
      <x:c r="D14" s="24" t="str">
        <x:v>权属、折旧、返工与长期合同</x:v>
      </x:c>
      <x:c r="E14" s="24" t="str">
        <x:v>合同、授权链、SOP、质检和单位成本</x:v>
      </x:c>
      <x:c r="F14" s="24" t="str">
        <x:v>待定</x:v>
      </x:c>
      <x:c r="G14" s="74"/>
    </x:row>
    <x:row r="15" ht="52.79999923706055" hidden="0" customHeight="1">
      <x:c r="A15" s="24" t="str">
        <x:v>真人验证系统</x:v>
      </x:c>
      <x:c r="B15" s="24" t="str">
        <x:v>B-/C</x:v>
      </x:c>
      <x:c r="C15" s="24" t="str">
        <x:v>身份、个人信息与安全标准</x:v>
      </x:c>
      <x:c r="D15" s="24" t="str">
        <x:v>误识率、攻击通过与平台兼容</x:v>
      </x:c>
      <x:c r="E15" s="24" t="str">
        <x:v>第三方安全测试、PIA和真实试点</x:v>
      </x:c>
      <x:c r="F15" s="24" t="str">
        <x:v>待定</x:v>
      </x:c>
      <x:c r="G15" s="74"/>
    </x:row>
    <x:row r="16" ht="52.79999923706055" hidden="0" customHeight="1">
      <x:c r="A16" s="24" t="str">
        <x:v>AI 原生合规系统</x:v>
      </x:c>
      <x:c r="B16" s="24" t="str">
        <x:v>A-/B</x:v>
      </x:c>
      <x:c r="C16" s="24" t="str">
        <x:v>政府法规、监管公告与审计要求</x:v>
      </x:c>
      <x:c r="D16" s="24" t="str">
        <x:v>覆盖率、追溯性和实施毛利</x:v>
      </x:c>
      <x:c r="E16" s="24" t="str">
        <x:v>回款合同、映射准确率和审计复核</x:v>
      </x:c>
      <x:c r="F16" s="24" t="str">
        <x:v>待定</x:v>
      </x:c>
      <x:c r="G16" s="74"/>
    </x:row>
    <x:row r="17" ht="52.79999923706055" hidden="0" customHeight="1">
      <x:c r="A17" s="25" t="str">
        <x:v>API 自动维护工具</x:v>
      </x:c>
      <x:c r="B17" s="25" t="str">
        <x:v>B</x:v>
      </x:c>
      <x:c r="C17" s="25" t="str">
        <x:v>公开API、仓库、CI与变更记录</x:v>
      </x:c>
      <x:c r="D17" s="25" t="str">
        <x:v>合并率、误修率、权限与付费</x:v>
      </x:c>
      <x:c r="E17" s="25" t="str">
        <x:v>20个仓库、测试率、合并率和回款</x:v>
      </x:c>
      <x:c r="F17" s="25" t="str">
        <x:v>待定</x:v>
      </x:c>
      <x:c r="G17" s="75"/>
    </x:row>
  </x:sheetData>
  <x:mergeCells>
    <x:mergeCell ref="A1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0" customHeight="1">
      <x:c r="A1" s="4" t="str">
        <x:v>推荐指数｜公式化与证据修正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/>
    <x:row r="4" ht="26.399999618530273" hidden="0" customHeight="1">
      <x:c r="A4" s="13" t="str">
        <x:v>方向</x:v>
      </x:c>
      <x:c r="B4" s="14" t="str">
        <x:v>需求20%</x:v>
      </x:c>
      <x:c r="C4" s="14" t="str">
        <x:v>市场15%</x:v>
      </x:c>
      <x:c r="D4" s="14" t="str">
        <x:v>标准化15%</x:v>
      </x:c>
      <x:c r="E4" s="14" t="str">
        <x:v>经济15%</x:v>
      </x:c>
      <x:c r="F4" s="14" t="str">
        <x:v>团队10%</x:v>
      </x:c>
      <x:c r="G4" s="14" t="str">
        <x:v>护城河10%</x:v>
      </x:c>
      <x:c r="H4" s="14" t="str">
        <x:v>合规10%</x:v>
      </x:c>
      <x:c r="I4" s="14" t="str">
        <x:v>退出5%</x:v>
      </x:c>
      <x:c r="J4" s="14" t="str">
        <x:v>基础分</x:v>
      </x:c>
      <x:c r="K4" s="14" t="str">
        <x:v>数据完整率</x:v>
      </x:c>
      <x:c r="L4" s="14" t="str">
        <x:v>证据系数</x:v>
      </x:c>
      <x:c r="M4" s="15" t="str">
        <x:v>可信修正分</x:v>
      </x:c>
    </x:row>
    <x:row r="5" ht="26.399999618530273" hidden="0" customHeight="1">
      <x:c r="A5" s="23" t="str">
        <x:v>AI 私人老师</x:v>
      </x:c>
      <x:c r="B5" s="29" t="n">
        <x:v>85</x:v>
      </x:c>
      <x:c r="C5" s="29" t="n">
        <x:v>80</x:v>
      </x:c>
      <x:c r="D5" s="29" t="n">
        <x:v>75</x:v>
      </x:c>
      <x:c r="E5" s="29" t="n">
        <x:v>72</x:v>
      </x:c>
      <x:c r="F5" s="29" t="n">
        <x:v>82</x:v>
      </x:c>
      <x:c r="G5" s="29" t="n">
        <x:v>74</x:v>
      </x:c>
      <x:c r="H5" s="29" t="n">
        <x:v>78</x:v>
      </x:c>
      <x:c r="I5" s="29" t="n">
        <x:v>70</x:v>
      </x:c>
      <x:c r="J5" s="29" t="n">
        <x:f>B5*20%+C5*15%+D5*15%+E5*15%+F5*10%+G5*10%+H5*10%+I5*5%</x:f>
        <x:v>77.95</x:v>
      </x:c>
      <x:c r="K5" s="76" t="n">
        <x:v>0.68</x:v>
      </x:c>
      <x:c r="L5" s="76" t="n">
        <x:v>0.8</x:v>
      </x:c>
      <x:c r="M5" s="29" t="n">
        <x:f>J5*K5*L5</x:f>
        <x:v>42.40480000000001</x:v>
      </x:c>
    </x:row>
    <x:row r="6" ht="15" hidden="0" customHeight="1">
      <x:c r="A6" s="24" t="str">
        <x:v>国防科技</x:v>
      </x:c>
      <x:c r="B6" s="30" t="n">
        <x:v>74</x:v>
      </x:c>
      <x:c r="C6" s="30" t="n">
        <x:v>82</x:v>
      </x:c>
      <x:c r="D6" s="30" t="n">
        <x:v>55</x:v>
      </x:c>
      <x:c r="E6" s="30" t="n">
        <x:v>58</x:v>
      </x:c>
      <x:c r="F6" s="30" t="n">
        <x:v>75</x:v>
      </x:c>
      <x:c r="G6" s="30" t="n">
        <x:v>84</x:v>
      </x:c>
      <x:c r="H6" s="30" t="n">
        <x:v>45</x:v>
      </x:c>
      <x:c r="I6" s="30" t="n">
        <x:v>60</x:v>
      </x:c>
      <x:c r="J6" s="30" t="n">
        <x:f>B6*20%+C6*15%+D6*15%+E6*15%+F6*10%+G6*10%+H6*10%+I6*5%</x:f>
        <x:v>67.44999999999999</x:v>
      </x:c>
      <x:c r="K6" s="77" t="n">
        <x:v>0.68</x:v>
      </x:c>
      <x:c r="L6" s="77" t="n">
        <x:v>0.8</x:v>
      </x:c>
      <x:c r="M6" s="30" t="n">
        <x:f>J6*K6*L6</x:f>
        <x:v>36.6928</x:v>
      </x:c>
    </x:row>
    <x:row r="7" ht="26.399999618530273" hidden="0" customHeight="1">
      <x:c r="A7" s="24" t="str">
        <x:v>小软件专属云</x:v>
      </x:c>
      <x:c r="B7" s="30" t="n">
        <x:v>90</x:v>
      </x:c>
      <x:c r="C7" s="30" t="n">
        <x:v>88</x:v>
      </x:c>
      <x:c r="D7" s="30" t="n">
        <x:v>90</x:v>
      </x:c>
      <x:c r="E7" s="30" t="n">
        <x:v>84</x:v>
      </x:c>
      <x:c r="F7" s="30" t="n">
        <x:v>80</x:v>
      </x:c>
      <x:c r="G7" s="30" t="n">
        <x:v>78</x:v>
      </x:c>
      <x:c r="H7" s="30" t="n">
        <x:v>86</x:v>
      </x:c>
      <x:c r="I7" s="30" t="n">
        <x:v>75</x:v>
      </x:c>
      <x:c r="J7" s="30" t="n">
        <x:f>B7*20%+C7*15%+D7*15%+E7*15%+F7*10%+G7*10%+H7*10%+I7*5%</x:f>
        <x:v>85.45</x:v>
      </x:c>
      <x:c r="K7" s="77" t="n">
        <x:v>0.68</x:v>
      </x:c>
      <x:c r="L7" s="77" t="n">
        <x:v>0.8</x:v>
      </x:c>
      <x:c r="M7" s="30" t="n">
        <x:f>J7*K7*L7</x:f>
        <x:v>46.48480000000001</x:v>
      </x:c>
    </x:row>
    <x:row r="8" ht="26.399999618530273" hidden="0" customHeight="1">
      <x:c r="A8" s="24" t="str">
        <x:v>多人协作 AI</x:v>
      </x:c>
      <x:c r="B8" s="30" t="n">
        <x:v>82</x:v>
      </x:c>
      <x:c r="C8" s="30" t="n">
        <x:v>82</x:v>
      </x:c>
      <x:c r="D8" s="30" t="n">
        <x:v>76</x:v>
      </x:c>
      <x:c r="E8" s="30" t="n">
        <x:v>74</x:v>
      </x:c>
      <x:c r="F8" s="30" t="n">
        <x:v>80</x:v>
      </x:c>
      <x:c r="G8" s="30" t="n">
        <x:v>72</x:v>
      </x:c>
      <x:c r="H8" s="30" t="n">
        <x:v>84</x:v>
      </x:c>
      <x:c r="I8" s="30" t="n">
        <x:v>70</x:v>
      </x:c>
      <x:c r="J8" s="30" t="n">
        <x:f>B8*20%+C8*15%+D8*15%+E8*15%+F8*10%+G8*10%+H8*10%+I8*5%</x:f>
        <x:v>78.30000000000001</x:v>
      </x:c>
      <x:c r="K8" s="77" t="n">
        <x:v>0.68</x:v>
      </x:c>
      <x:c r="L8" s="77" t="n">
        <x:v>0.8</x:v>
      </x:c>
      <x:c r="M8" s="30" t="n">
        <x:f>J8*K8*L8</x:f>
        <x:v>42.59520000000001</x:v>
      </x:c>
    </x:row>
    <x:row r="9" ht="26.399999618530273" hidden="0" customHeight="1">
      <x:c r="A9" s="24" t="str">
        <x:v>海上数据中心</x:v>
      </x:c>
      <x:c r="B9" s="30" t="n">
        <x:v>68</x:v>
      </x:c>
      <x:c r="C9" s="30" t="n">
        <x:v>76</x:v>
      </x:c>
      <x:c r="D9" s="30" t="n">
        <x:v>38</x:v>
      </x:c>
      <x:c r="E9" s="30" t="n">
        <x:v>35</x:v>
      </x:c>
      <x:c r="F9" s="30" t="n">
        <x:v>60</x:v>
      </x:c>
      <x:c r="G9" s="30" t="n">
        <x:v>70</x:v>
      </x:c>
      <x:c r="H9" s="30" t="n">
        <x:v>42</x:v>
      </x:c>
      <x:c r="I9" s="30" t="n">
        <x:v>55</x:v>
      </x:c>
      <x:c r="J9" s="30" t="n">
        <x:f>B9*20%+C9*15%+D9*15%+E9*15%+F9*10%+G9*10%+H9*10%+I9*5%</x:f>
        <x:v>55.900000000000006</x:v>
      </x:c>
      <x:c r="K9" s="77" t="n">
        <x:v>0.68</x:v>
      </x:c>
      <x:c r="L9" s="77" t="n">
        <x:v>0.8</x:v>
      </x:c>
      <x:c r="M9" s="30" t="n">
        <x:f>J9*K9*L9</x:f>
        <x:v>30.409600000000008</x:v>
      </x:c>
    </x:row>
    <x:row r="10" ht="26.399999618530273" hidden="0" customHeight="1">
      <x:c r="A10" s="24" t="str">
        <x:v>十亿级 AI 消费产品</x:v>
      </x:c>
      <x:c r="B10" s="30" t="n">
        <x:v>84</x:v>
      </x:c>
      <x:c r="C10" s="30" t="n">
        <x:v>94</x:v>
      </x:c>
      <x:c r="D10" s="30" t="n">
        <x:v>80</x:v>
      </x:c>
      <x:c r="E10" s="30" t="n">
        <x:v>62</x:v>
      </x:c>
      <x:c r="F10" s="30" t="n">
        <x:v>78</x:v>
      </x:c>
      <x:c r="G10" s="30" t="n">
        <x:v>52</x:v>
      </x:c>
      <x:c r="H10" s="30" t="n">
        <x:v>74</x:v>
      </x:c>
      <x:c r="I10" s="30" t="n">
        <x:v>65</x:v>
      </x:c>
      <x:c r="J10" s="30" t="n">
        <x:f>B10*20%+C10*15%+D10*15%+E10*15%+F10*10%+G10*10%+H10*10%+I10*5%</x:f>
        <x:v>75.85000000000001</x:v>
      </x:c>
      <x:c r="K10" s="77" t="n">
        <x:v>0.68</x:v>
      </x:c>
      <x:c r="L10" s="77" t="n">
        <x:v>0.8</x:v>
      </x:c>
      <x:c r="M10" s="30" t="n">
        <x:f>J10*K10*L10</x:f>
        <x:v>41.262400000000014</x:v>
      </x:c>
    </x:row>
    <x:row r="11" ht="26.399999618530273" hidden="0" customHeight="1">
      <x:c r="A11" s="24" t="str">
        <x:v>银发 AI 服务</x:v>
      </x:c>
      <x:c r="B11" s="30" t="n">
        <x:v>88</x:v>
      </x:c>
      <x:c r="C11" s="30" t="n">
        <x:v>90</x:v>
      </x:c>
      <x:c r="D11" s="30" t="n">
        <x:v>65</x:v>
      </x:c>
      <x:c r="E11" s="30" t="n">
        <x:v>68</x:v>
      </x:c>
      <x:c r="F11" s="30" t="n">
        <x:v>82</x:v>
      </x:c>
      <x:c r="G11" s="30" t="n">
        <x:v>76</x:v>
      </x:c>
      <x:c r="H11" s="30" t="n">
        <x:v>62</x:v>
      </x:c>
      <x:c r="I11" s="30" t="n">
        <x:v>72</x:v>
      </x:c>
      <x:c r="J11" s="30" t="n">
        <x:f>B11*20%+C11*15%+D11*15%+E11*15%+F11*10%+G11*10%+H11*10%+I11*5%</x:f>
        <x:v>76.64999999999999</x:v>
      </x:c>
      <x:c r="K11" s="77" t="n">
        <x:v>0.68</x:v>
      </x:c>
      <x:c r="L11" s="77" t="n">
        <x:v>0.8</x:v>
      </x:c>
      <x:c r="M11" s="30" t="n">
        <x:f>J11*K11*L11</x:f>
        <x:v>41.6976</x:v>
      </x:c>
    </x:row>
    <x:row r="12" ht="26.399999618530273" hidden="0" customHeight="1">
      <x:c r="A12" s="24" t="str">
        <x:v>现实世界操作系统</x:v>
      </x:c>
      <x:c r="B12" s="30" t="n">
        <x:v>90</x:v>
      </x:c>
      <x:c r="C12" s="30" t="n">
        <x:v>88</x:v>
      </x:c>
      <x:c r="D12" s="30" t="n">
        <x:v>70</x:v>
      </x:c>
      <x:c r="E12" s="30" t="n">
        <x:v>72</x:v>
      </x:c>
      <x:c r="F12" s="30" t="n">
        <x:v>86</x:v>
      </x:c>
      <x:c r="G12" s="30" t="n">
        <x:v>82</x:v>
      </x:c>
      <x:c r="H12" s="30" t="n">
        <x:v>78</x:v>
      </x:c>
      <x:c r="I12" s="30" t="n">
        <x:v>78</x:v>
      </x:c>
      <x:c r="J12" s="30" t="n">
        <x:f>B12*20%+C12*15%+D12*15%+E12*15%+F12*10%+G12*10%+H12*10%+I12*5%</x:f>
        <x:v>81</x:v>
      </x:c>
      <x:c r="K12" s="77" t="n">
        <x:v>0.68</x:v>
      </x:c>
      <x:c r="L12" s="77" t="n">
        <x:v>0.8</x:v>
      </x:c>
      <x:c r="M12" s="30" t="n">
        <x:f>J12*K12*L12</x:f>
        <x:v>44.06400000000001</x:v>
      </x:c>
    </x:row>
    <x:row r="13" ht="26.399999618530273" hidden="0" customHeight="1">
      <x:c r="A13" s="24" t="str">
        <x:v>加密货币基础设施</x:v>
      </x:c>
      <x:c r="B13" s="30" t="n">
        <x:v>76</x:v>
      </x:c>
      <x:c r="C13" s="30" t="n">
        <x:v>86</x:v>
      </x:c>
      <x:c r="D13" s="30" t="n">
        <x:v>72</x:v>
      </x:c>
      <x:c r="E13" s="30" t="n">
        <x:v>70</x:v>
      </x:c>
      <x:c r="F13" s="30" t="n">
        <x:v>74</x:v>
      </x:c>
      <x:c r="G13" s="30" t="n">
        <x:v>78</x:v>
      </x:c>
      <x:c r="H13" s="30" t="n">
        <x:v>35</x:v>
      </x:c>
      <x:c r="I13" s="30" t="n">
        <x:v>62</x:v>
      </x:c>
      <x:c r="J13" s="30" t="n">
        <x:f>B13*20%+C13*15%+D13*15%+E13*15%+F13*10%+G13*10%+H13*10%+I13*5%</x:f>
        <x:v>71.19999999999999</x:v>
      </x:c>
      <x:c r="K13" s="77" t="n">
        <x:v>0.68</x:v>
      </x:c>
      <x:c r="L13" s="77" t="n">
        <x:v>0.8</x:v>
      </x:c>
      <x:c r="M13" s="30" t="n">
        <x:f>J13*K13*L13</x:f>
        <x:v>38.7328</x:v>
      </x:c>
    </x:row>
    <x:row r="14" ht="26.399999618530273" hidden="0" customHeight="1">
      <x:c r="A14" s="24" t="str">
        <x:v>现实世界数据采集</x:v>
      </x:c>
      <x:c r="B14" s="30" t="n">
        <x:v>84</x:v>
      </x:c>
      <x:c r="C14" s="30" t="n">
        <x:v>86</x:v>
      </x:c>
      <x:c r="D14" s="30" t="n">
        <x:v>68</x:v>
      </x:c>
      <x:c r="E14" s="30" t="n">
        <x:v>72</x:v>
      </x:c>
      <x:c r="F14" s="30" t="n">
        <x:v>82</x:v>
      </x:c>
      <x:c r="G14" s="30" t="n">
        <x:v>80</x:v>
      </x:c>
      <x:c r="H14" s="30" t="n">
        <x:v>70</x:v>
      </x:c>
      <x:c r="I14" s="30" t="n">
        <x:v>72</x:v>
      </x:c>
      <x:c r="J14" s="30" t="n">
        <x:f>B14*20%+C14*15%+D14*15%+E14*15%+F14*10%+G14*10%+H14*10%+I14*5%</x:f>
        <x:v>77.5</x:v>
      </x:c>
      <x:c r="K14" s="77" t="n">
        <x:v>0.68</x:v>
      </x:c>
      <x:c r="L14" s="77" t="n">
        <x:v>0.8</x:v>
      </x:c>
      <x:c r="M14" s="30" t="n">
        <x:f>J14*K14*L14</x:f>
        <x:v>42.160000000000004</x:v>
      </x:c>
    </x:row>
    <x:row r="15" ht="26.399999618530273" hidden="0" customHeight="1">
      <x:c r="A15" s="24" t="str">
        <x:v>真人验证系统</x:v>
      </x:c>
      <x:c r="B15" s="30" t="n">
        <x:v>80</x:v>
      </x:c>
      <x:c r="C15" s="30" t="n">
        <x:v>84</x:v>
      </x:c>
      <x:c r="D15" s="30" t="n">
        <x:v>78</x:v>
      </x:c>
      <x:c r="E15" s="30" t="n">
        <x:v>70</x:v>
      </x:c>
      <x:c r="F15" s="30" t="n">
        <x:v>80</x:v>
      </x:c>
      <x:c r="G15" s="30" t="n">
        <x:v>82</x:v>
      </x:c>
      <x:c r="H15" s="30" t="n">
        <x:v>62</x:v>
      </x:c>
      <x:c r="I15" s="30" t="n">
        <x:v>70</x:v>
      </x:c>
      <x:c r="J15" s="30" t="n">
        <x:f>B15*20%+C15*15%+D15*15%+E15*15%+F15*10%+G15*10%+H15*10%+I15*5%</x:f>
        <x:v>76.7</x:v>
      </x:c>
      <x:c r="K15" s="77" t="n">
        <x:v>0.68</x:v>
      </x:c>
      <x:c r="L15" s="77" t="n">
        <x:v>0.8</x:v>
      </x:c>
      <x:c r="M15" s="30" t="n">
        <x:f>J15*K15*L15</x:f>
        <x:v>41.72480000000001</x:v>
      </x:c>
    </x:row>
    <x:row r="16" ht="39.599998474121094" hidden="0" customHeight="1">
      <x:c r="A16" s="24" t="str">
        <x:v>AI 原生合规系统</x:v>
      </x:c>
      <x:c r="B16" s="30" t="n">
        <x:v>94</x:v>
      </x:c>
      <x:c r="C16" s="30" t="n">
        <x:v>92</x:v>
      </x:c>
      <x:c r="D16" s="30" t="n">
        <x:v>82</x:v>
      </x:c>
      <x:c r="E16" s="30" t="n">
        <x:v>86</x:v>
      </x:c>
      <x:c r="F16" s="30" t="n">
        <x:v>84</x:v>
      </x:c>
      <x:c r="G16" s="30" t="n">
        <x:v>84</x:v>
      </x:c>
      <x:c r="H16" s="30" t="n">
        <x:v>90</x:v>
      </x:c>
      <x:c r="I16" s="30" t="n">
        <x:v>80</x:v>
      </x:c>
      <x:c r="J16" s="30" t="n">
        <x:f>B16*20%+C16*15%+D16*15%+E16*15%+F16*10%+G16*10%+H16*10%+I16*5%</x:f>
        <x:v>87.60000000000001</x:v>
      </x:c>
      <x:c r="K16" s="77" t="n">
        <x:v>0.85</x:v>
      </x:c>
      <x:c r="L16" s="77" t="n">
        <x:v>0.95</x:v>
      </x:c>
      <x:c r="M16" s="30" t="n">
        <x:f>J16*K16*L16</x:f>
        <x:v>70.73700000000001</x:v>
      </x:c>
    </x:row>
    <x:row r="17" ht="39.599998474121094" hidden="0" customHeight="1">
      <x:c r="A17" s="25" t="str">
        <x:v>API 自动维护工具</x:v>
      </x:c>
      <x:c r="B17" s="31" t="n">
        <x:v>92</x:v>
      </x:c>
      <x:c r="C17" s="31" t="n">
        <x:v>90</x:v>
      </x:c>
      <x:c r="D17" s="31" t="n">
        <x:v>92</x:v>
      </x:c>
      <x:c r="E17" s="31" t="n">
        <x:v>90</x:v>
      </x:c>
      <x:c r="F17" s="31" t="n">
        <x:v>86</x:v>
      </x:c>
      <x:c r="G17" s="31" t="n">
        <x:v>82</x:v>
      </x:c>
      <x:c r="H17" s="31" t="n">
        <x:v>88</x:v>
      </x:c>
      <x:c r="I17" s="31" t="n">
        <x:v>82</x:v>
      </x:c>
      <x:c r="J17" s="31" t="n">
        <x:f>B17*20%+C17*15%+D17*15%+E17*15%+F17*10%+G17*10%+H17*10%+I17*5%</x:f>
        <x:v>88.89999999999999</x:v>
      </x:c>
      <x:c r="K17" s="78" t="n">
        <x:v>0.82</x:v>
      </x:c>
      <x:c r="L17" s="78" t="n">
        <x:v>0.9</x:v>
      </x:c>
      <x:c r="M17" s="31" t="n">
        <x:f>J17*K17*L17</x:f>
        <x:v>65.60819999999998</x:v>
      </x:c>
    </x:row>
  </x:sheetData>
  <x:mergeCells>
    <x:mergeCell ref="A1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28" hidden="0" customWidth="1"/>
    <x:col min="8" max="8" width="20" hidden="0" customWidth="1"/>
  </x:cols>
  <x:sheetData>
    <x:row r="1" ht="30" customHeight="1">
      <x:c r="A1" s="4" t="str">
        <x:v>重点方向｜三情景压力测试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13" t="str">
        <x:v>压力开关</x:v>
      </x:c>
      <x:c r="B4" s="14" t="str">
        <x:v>悲观</x:v>
      </x:c>
      <x:c r="C4" s="14" t="str">
        <x:v>基准</x:v>
      </x:c>
      <x:c r="D4" s="14" t="str">
        <x:v>乐观</x:v>
      </x:c>
      <x:c r="E4" s="14" t="str">
        <x:v>观察指标</x:v>
      </x:c>
      <x:c r="F4" s="14" t="str">
        <x:v>暂停线</x:v>
      </x:c>
      <x:c r="G4" s="14" t="str">
        <x:v>管理动作</x:v>
      </x:c>
      <x:c r="H4" s="15" t="str">
        <x:v>状态</x:v>
      </x:c>
    </x:row>
    <x:row r="5" ht="39.599998474121094" hidden="0" customHeight="1">
      <x:c r="A5" s="23" t="str">
        <x:v>客户增长</x:v>
      </x:c>
      <x:c r="B5" s="23" t="str">
        <x:v>-30%</x:v>
      </x:c>
      <x:c r="C5" s="23" t="str">
        <x:v>当前假设</x:v>
      </x:c>
      <x:c r="D5" s="23" t="str">
        <x:v>+25%</x:v>
      </x:c>
      <x:c r="E5" s="23" t="str">
        <x:v>CAC、漏斗、签约率</x:v>
      </x:c>
      <x:c r="F5" s="23" t="str">
        <x:v>LTV/CAC &lt; 2</x:v>
      </x:c>
      <x:c r="G5" s="23" t="str">
        <x:v>收缩渠道，聚焦单一垂直</x:v>
      </x:c>
      <x:c r="H5" s="23" t="str">
        <x:v>待验证</x:v>
      </x:c>
    </x:row>
    <x:row r="6" ht="39.599998474121094" hidden="0" customHeight="1">
      <x:c r="A6" s="24" t="str">
        <x:v>销售周期</x:v>
      </x:c>
      <x:c r="B6" s="24" t="str">
        <x:v>+6个月</x:v>
      </x:c>
      <x:c r="C6" s="24" t="str">
        <x:v>当前周期</x:v>
      </x:c>
      <x:c r="D6" s="24" t="str">
        <x:v>-20%</x:v>
      </x:c>
      <x:c r="E6" s="24" t="str">
        <x:v>合同阶段、现金和应收</x:v>
      </x:c>
      <x:c r="F6" s="24" t="str">
        <x:v>现金跑道 &lt; 9个月</x:v>
      </x:c>
      <x:c r="G6" s="24" t="str">
        <x:v>冻结扩招，按回款交付</x:v>
      </x:c>
      <x:c r="H6" s="24" t="str">
        <x:v>待验证</x:v>
      </x:c>
    </x:row>
    <x:row r="7" ht="39.599998474121094" hidden="0" customHeight="1">
      <x:c r="A7" s="24" t="str">
        <x:v>模型/算力成本</x:v>
      </x:c>
      <x:c r="B7" s="24" t="str">
        <x:v>+50%</x:v>
      </x:c>
      <x:c r="C7" s="24" t="str">
        <x:v>当前账单</x:v>
      </x:c>
      <x:c r="D7" s="24" t="str">
        <x:v>-20%</x:v>
      </x:c>
      <x:c r="E7" s="24" t="str">
        <x:v>每次调用/客户贡献毛利</x:v>
      </x:c>
      <x:c r="F7" s="24" t="str">
        <x:v>贡献毛利 &lt; 0</x:v>
      </x:c>
      <x:c r="G7" s="24" t="str">
        <x:v>路由、缓存、限额和调价</x:v>
      </x:c>
      <x:c r="H7" s="24" t="str">
        <x:v>待验证</x:v>
      </x:c>
    </x:row>
    <x:row r="8" ht="26.399999618530273" hidden="0" customHeight="1">
      <x:c r="A8" s="24" t="str">
        <x:v>客单价</x:v>
      </x:c>
      <x:c r="B8" s="24" t="str">
        <x:v>-20%</x:v>
      </x:c>
      <x:c r="C8" s="24" t="str">
        <x:v>当前报价</x:v>
      </x:c>
      <x:c r="D8" s="24" t="str">
        <x:v>+15%</x:v>
      </x:c>
      <x:c r="E8" s="24" t="str">
        <x:v>套餐、折扣和续费</x:v>
      </x:c>
      <x:c r="F8" s="24" t="str">
        <x:v>毛利低于方向下限</x:v>
      </x:c>
      <x:c r="G8" s="24" t="str">
        <x:v>取消低毛利定制</x:v>
      </x:c>
      <x:c r="H8" s="24" t="str">
        <x:v>待验证</x:v>
      </x:c>
    </x:row>
    <x:row r="9" ht="39.599998474121094" hidden="0" customHeight="1">
      <x:c r="A9" s="24" t="str">
        <x:v>核心客户流失</x:v>
      </x:c>
      <x:c r="B9" s="24" t="str">
        <x:v>最大客户流失</x:v>
      </x:c>
      <x:c r="C9" s="24" t="str">
        <x:v>无流失</x:v>
      </x:c>
      <x:c r="D9" s="24" t="str">
        <x:v>新增渠道客户</x:v>
      </x:c>
      <x:c r="E9" s="24" t="str">
        <x:v>客户集中和替补管线</x:v>
      </x:c>
      <x:c r="F9" s="24" t="str">
        <x:v>单客户收入 &gt; 40%</x:v>
      </x:c>
      <x:c r="G9" s="24" t="str">
        <x:v>暂停扩产，补客户组合</x:v>
      </x:c>
      <x:c r="H9" s="24" t="str">
        <x:v>待验证</x:v>
      </x:c>
    </x:row>
    <x:row r="10" ht="39.599998474121094" hidden="0" customHeight="1">
      <x:c r="A10" s="25" t="str">
        <x:v>融资进度</x:v>
      </x:c>
      <x:c r="B10" s="25" t="str">
        <x:v>推迟12个月</x:v>
      </x:c>
      <x:c r="C10" s="25" t="str">
        <x:v>按计划</x:v>
      </x:c>
      <x:c r="D10" s="25" t="str">
        <x:v>提前6个月</x:v>
      </x:c>
      <x:c r="E10" s="25" t="str">
        <x:v>净现金消耗和应付款</x:v>
      </x:c>
      <x:c r="F10" s="25" t="str">
        <x:v>无法维持18个月跑道</x:v>
      </x:c>
      <x:c r="G10" s="25" t="str">
        <x:v>分阶段投资和里程碑拨款</x:v>
      </x:c>
      <x:c r="H10" s="25" t="str">
        <x:v>待验证</x:v>
      </x:c>
    </x:row>
  </x:sheetData>
  <x:mergeCells>
    <x:mergeCell ref="A1:H2"/>
  </x:mergeCells>
  <x:dataValidations count="1">
    <x:dataValidation type="list" sqref="H5:H10">
      <x:formula1>"待验证,通过,预警,暂停"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2" hidden="0" customWidth="1"/>
  </x:cols>
  <x:sheetData>
    <x:row r="1" ht="30" customHeight="1">
      <x:c r="A1" s="4" t="str">
        <x:v>硅基经济层｜AI作为经济参与者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13" t="str">
        <x:v>新增方向</x:v>
      </x:c>
      <x:c r="B4" s="14" t="str">
        <x:v>产品核心</x:v>
      </x:c>
      <x:c r="C4" s="14" t="str">
        <x:v>首要客户</x:v>
      </x:c>
      <x:c r="D4" s="14" t="str">
        <x:v>商业模式</x:v>
      </x:c>
      <x:c r="E4" s="14" t="str">
        <x:v>90天证据</x:v>
      </x:c>
      <x:c r="F4" s="14" t="str">
        <x:v>关键指标</x:v>
      </x:c>
      <x:c r="G4" s="14" t="str">
        <x:v>人类控制</x:v>
      </x:c>
      <x:c r="H4" s="15" t="str">
        <x:v>状态</x:v>
      </x:c>
    </x:row>
    <x:row r="5" ht="52.79999923706055" hidden="0" customHeight="1">
      <x:c r="A5" s="23" t="str">
        <x:v>AI智能体身份与授权网络</x:v>
      </x:c>
      <x:c r="B5" s="23" t="str">
        <x:v>身份、代表关系、权限、撤销与审计</x:v>
      </x:c>
      <x:c r="C5" s="23" t="str">
        <x:v>平台、金融、企业软件</x:v>
      </x:c>
      <x:c r="D5" s="23" t="str">
        <x:v>调用计费＋企业订阅</x:v>
      </x:c>
      <x:c r="E5" s="23" t="str">
        <x:v>一个真实平台授权与撤销闭环</x:v>
      </x:c>
      <x:c r="F5" s="23" t="str">
        <x:v>身份覆盖率、撤销时延</x:v>
      </x:c>
      <x:c r="G5" s="23" t="str">
        <x:v>绑定合法人/组织，可随时撤销</x:v>
      </x:c>
      <x:c r="H5" s="23" t="str">
        <x:v>研究</x:v>
      </x:c>
    </x:row>
    <x:row r="6" ht="52.79999923706055" hidden="0" customHeight="1">
      <x:c r="A6" s="24" t="str">
        <x:v>AI长期记忆与数字人格托管</x:v>
      </x:c>
      <x:c r="B6" s="24" t="str">
        <x:v>跨模型保存、迁移、继承和删除记忆</x:v>
      </x:c>
      <x:c r="C6" s="24" t="str">
        <x:v>个人AI、企业Agent、教育养老</x:v>
      </x:c>
      <x:c r="D6" s="24" t="str">
        <x:v>存储订阅＋迁移＋治理</x:v>
      </x:c>
      <x:c r="E6" s="24" t="str">
        <x:v>跨两种模型迁移并可控删除</x:v>
      </x:c>
      <x:c r="F6" s="24" t="str">
        <x:v>记忆命中率、迁移成功率</x:v>
      </x:c>
      <x:c r="G6" s="24" t="str">
        <x:v>所有者可导出、删除和停止</x:v>
      </x:c>
      <x:c r="H6" s="24" t="str">
        <x:v>研究</x:v>
      </x:c>
    </x:row>
    <x:row r="7" ht="52.79999923706055" hidden="0" customHeight="1">
      <x:c r="A7" s="24" t="str">
        <x:v>Agent-to-Agent交易与结算</x:v>
      </x:c>
      <x:c r="B7" s="24" t="str">
        <x:v>机器采购、托管、验收、付款与争议</x:v>
      </x:c>
      <x:c r="C7" s="24" t="str">
        <x:v>API平台、跨境服务、机器人运营商</x:v>
      </x:c>
      <x:c r="D7" s="24" t="str">
        <x:v>交易费＋托管费＋风控</x:v>
      </x:c>
      <x:c r="E7" s="24" t="str">
        <x:v>两个智能体可追责小额交易</x:v>
      </x:c>
      <x:c r="F7" s="24" t="str">
        <x:v>成功率、退款率、争议率</x:v>
      </x:c>
      <x:c r="G7" s="24" t="str">
        <x:v>预算上限、人工批准和追责</x:v>
      </x:c>
      <x:c r="H7" s="24" t="str">
        <x:v>研究</x:v>
      </x:c>
    </x:row>
    <x:row r="8" ht="52.79999923706055" hidden="0" customHeight="1">
      <x:c r="A8" s="24" t="str">
        <x:v>AI信誉、责任与任务保险</x:v>
      </x:c>
      <x:c r="B8" s="24" t="str">
        <x:v>历史表现、风险评分和失败保障</x:v>
      </x:c>
      <x:c r="C8" s="24" t="str">
        <x:v>企业采购、平台、保险</x:v>
      </x:c>
      <x:c r="D8" s="24" t="str">
        <x:v>评分API＋保费分成</x:v>
      </x:c>
      <x:c r="E8" s="24" t="str">
        <x:v>评分模型和保险/平台合作意向</x:v>
      </x:c>
      <x:c r="F8" s="24" t="str">
        <x:v>任务成功率、赔付率</x:v>
      </x:c>
      <x:c r="G8" s="24" t="str">
        <x:v>高风险任务强制人工批准</x:v>
      </x:c>
      <x:c r="H8" s="24" t="str">
        <x:v>研究</x:v>
      </x:c>
    </x:row>
    <x:row r="9" ht="66" hidden="0" customHeight="1">
      <x:c r="A9" s="25" t="str">
        <x:v>AI能力市场与工具供应链</x:v>
      </x:c>
      <x:c r="B9" s="25" t="str">
        <x:v>发现、测试、采购和替换模型/API/工具</x:v>
      </x:c>
      <x:c r="C9" s="25" t="str">
        <x:v>开发者、Agent平台、企业IT</x:v>
      </x:c>
      <x:c r="D9" s="25" t="str">
        <x:v>佣金＋治理＋认证</x:v>
      </x:c>
      <x:c r="E9" s="25" t="str">
        <x:v>20个工具接入和恶意工具拦截</x:v>
      </x:c>
      <x:c r="F9" s="25" t="str">
        <x:v>替换成功率、供应商集中度</x:v>
      </x:c>
      <x:c r="G9" s="25" t="str">
        <x:v>最小权限、白名单和调用审计</x:v>
      </x:c>
      <x:c r="H9" s="25" t="str">
        <x:v>研究</x:v>
      </x:c>
    </x:row>
    <x:row r="10"/>
    <x:row r="11"/>
    <x:row r="12" ht="26.399999618530273" hidden="0" customHeight="1">
      <x:c r="A12" s="13" t="str">
        <x:v>硅基评估指标</x:v>
      </x:c>
      <x:c r="B12" s="14" t="str">
        <x:v>核心问题</x:v>
      </x:c>
      <x:c r="C12" s="15" t="str">
        <x:v>量化指标</x:v>
      </x:c>
    </x:row>
    <x:row r="13" ht="39.599998474121094" hidden="0" customHeight="1">
      <x:c r="A13" s="23" t="str">
        <x:v>自主程度</x:v>
      </x:c>
      <x:c r="B13" s="23" t="str">
        <x:v>无人干预能完成多少任务</x:v>
      </x:c>
      <x:c r="C13" s="23" t="str">
        <x:v>任务闭环率、人工接管率</x:v>
      </x:c>
    </x:row>
    <x:row r="14" ht="39.599998474121094" hidden="0" customHeight="1">
      <x:c r="A14" s="24" t="str">
        <x:v>持续身份</x:v>
      </x:c>
      <x:c r="B14" s="24" t="str">
        <x:v>是否有稳定身份与历史</x:v>
      </x:c>
      <x:c r="C14" s="24" t="str">
        <x:v>身份覆盖率、撤销时间</x:v>
      </x:c>
    </x:row>
    <x:row r="15" ht="39.599998474121094" hidden="0" customHeight="1">
      <x:c r="A15" s="24" t="str">
        <x:v>长期记忆</x:v>
      </x:c>
      <x:c r="B15" s="24" t="str">
        <x:v>状态能否跨模型延续</x:v>
      </x:c>
      <x:c r="C15" s="24" t="str">
        <x:v>命中率、迁移成功率</x:v>
      </x:c>
    </x:row>
    <x:row r="16" ht="39.599998474121094" hidden="0" customHeight="1">
      <x:c r="A16" s="24" t="str">
        <x:v>机器支付</x:v>
      </x:c>
      <x:c r="B16" s="24" t="str">
        <x:v>能否在授权预算内采购</x:v>
      </x:c>
      <x:c r="C16" s="24" t="str">
        <x:v>支付成功率、争议率</x:v>
      </x:c>
    </x:row>
    <x:row r="17" ht="39.599998474121094" hidden="0" customHeight="1">
      <x:c r="A17" s="24" t="str">
        <x:v>多智能体协作</x:v>
      </x:c>
      <x:c r="B17" s="24" t="str">
        <x:v>能否委派、验收和追责</x:v>
      </x:c>
      <x:c r="C17" s="24" t="str">
        <x:v>验收率、责任链完整率</x:v>
      </x:c>
    </x:row>
    <x:row r="18" ht="39.599998474121094" hidden="0" customHeight="1">
      <x:c r="A18" s="24" t="str">
        <x:v>可迁移性</x:v>
      </x:c>
      <x:c r="B18" s="24" t="str">
        <x:v>能否更换模型、云和工具</x:v>
      </x:c>
      <x:c r="C18" s="24" t="str">
        <x:v>迁移时间、集中度</x:v>
      </x:c>
    </x:row>
    <x:row r="19" ht="39.599998474121094" hidden="0" customHeight="1">
      <x:c r="A19" s="24" t="str">
        <x:v>人类控制</x:v>
      </x:c>
      <x:c r="B19" s="24" t="str">
        <x:v>能否暂停、撤销和接管</x:v>
      </x:c>
      <x:c r="C19" s="24" t="str">
        <x:v>阻断延迟、越权事件</x:v>
      </x:c>
    </x:row>
    <x:row r="20" ht="52.79999923706055" hidden="0" customHeight="1">
      <x:c r="A20" s="25" t="str">
        <x:v>硅基单位经济</x:v>
      </x:c>
      <x:c r="B20" s="25" t="str">
        <x:v>有效任务消耗多少资源</x:v>
      </x:c>
      <x:c r="C20" s="25" t="str">
        <x:v>每任务Token、电力、资金和毛利</x:v>
      </x:c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</x:cols>
  <x:sheetData>
    <x:row r="1" ht="30" customHeight="1">
      <x:c r="A1" s="4" t="str">
        <x:v>项目与公司尽调清单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/>
    <x:row r="4" ht="26.399999618530273" hidden="0" customHeight="1">
      <x:c r="A4" s="13" t="str">
        <x:v>模块</x:v>
      </x:c>
      <x:c r="B4" s="14" t="str">
        <x:v>检查事项</x:v>
      </x:c>
      <x:c r="C4" s="14" t="str">
        <x:v>证据</x:v>
      </x:c>
      <x:c r="D4" s="14" t="str">
        <x:v>状态</x:v>
      </x:c>
      <x:c r="E4" s="14" t="str">
        <x:v>优先级</x:v>
      </x:c>
      <x:c r="F4" s="14" t="str">
        <x:v>负责人</x:v>
      </x:c>
      <x:c r="G4" s="14" t="str">
        <x:v>截止日</x:v>
      </x:c>
      <x:c r="H4" s="15" t="str">
        <x:v>结论/风险</x:v>
      </x:c>
    </x:row>
    <x:row r="5" ht="52.79999923706055" hidden="0" customHeight="1">
      <x:c r="A5" s="23" t="str">
        <x:v>客户</x:v>
      </x:c>
      <x:c r="B5" s="23" t="str">
        <x:v>前三大客户、合同、发票、回款流水</x:v>
      </x:c>
      <x:c r="C5" s="23" t="str">
        <x:v>合同+银行流水</x:v>
      </x:c>
      <x:c r="D5" s="23" t="str">
        <x:v>待开始</x:v>
      </x:c>
      <x:c r="E5" s="23" t="str">
        <x:v>高</x:v>
      </x:c>
      <x:c r="F5" s="23" t="str">
        <x:v>待定</x:v>
      </x:c>
      <x:c r="G5" s="73"/>
      <x:c r="H5" s="23" t="str"/>
    </x:row>
    <x:row r="6" ht="66" hidden="0" customHeight="1">
      <x:c r="A6" s="24" t="str">
        <x:v>产品</x:v>
      </x:c>
      <x:c r="B6" s="24" t="str">
        <x:v>真实使用频次、留存、失败率、部署周期</x:v>
      </x:c>
      <x:c r="C6" s="24" t="str">
        <x:v>后台数据+客户访谈</x:v>
      </x:c>
      <x:c r="D6" s="24" t="str">
        <x:v>待开始</x:v>
      </x:c>
      <x:c r="E6" s="24" t="str">
        <x:v>高</x:v>
      </x:c>
      <x:c r="F6" s="24" t="str">
        <x:v>待定</x:v>
      </x:c>
      <x:c r="G6" s="74"/>
      <x:c r="H6" s="24" t="str"/>
    </x:row>
    <x:row r="7" ht="66" hidden="0" customHeight="1">
      <x:c r="A7" s="24" t="str">
        <x:v>财务</x:v>
      </x:c>
      <x:c r="B7" s="24" t="str">
        <x:v>收入确认、毛利、现金消耗、应收账龄</x:v>
      </x:c>
      <x:c r="C7" s="24" t="str">
        <x:v>总账+审计底稿</x:v>
      </x:c>
      <x:c r="D7" s="24" t="str">
        <x:v>待开始</x:v>
      </x:c>
      <x:c r="E7" s="24" t="str">
        <x:v>高</x:v>
      </x:c>
      <x:c r="F7" s="24" t="str">
        <x:v>待定</x:v>
      </x:c>
      <x:c r="G7" s="74"/>
      <x:c r="H7" s="24" t="str"/>
    </x:row>
    <x:row r="8" ht="66" hidden="0" customHeight="1">
      <x:c r="A8" s="24" t="str">
        <x:v>技术</x:v>
      </x:c>
      <x:c r="B8" s="24" t="str">
        <x:v>模型依赖、推理成本、代码质量、容灾</x:v>
      </x:c>
      <x:c r="C8" s="24" t="str">
        <x:v>架构图+代码审计</x:v>
      </x:c>
      <x:c r="D8" s="24" t="str">
        <x:v>待开始</x:v>
      </x:c>
      <x:c r="E8" s="24" t="str">
        <x:v>高</x:v>
      </x:c>
      <x:c r="F8" s="24" t="str">
        <x:v>待定</x:v>
      </x:c>
      <x:c r="G8" s="74"/>
      <x:c r="H8" s="24" t="str"/>
    </x:row>
    <x:row r="9" ht="52.79999923706055" hidden="0" customHeight="1">
      <x:c r="A9" s="24" t="str">
        <x:v>数据</x:v>
      </x:c>
      <x:c r="B9" s="24" t="str">
        <x:v>授权、来源、跨境、个人信息处理</x:v>
      </x:c>
      <x:c r="C9" s="24" t="str">
        <x:v>数据清单+授权协议</x:v>
      </x:c>
      <x:c r="D9" s="24" t="str">
        <x:v>待开始</x:v>
      </x:c>
      <x:c r="E9" s="24" t="str">
        <x:v>高</x:v>
      </x:c>
      <x:c r="F9" s="24" t="str">
        <x:v>待定</x:v>
      </x:c>
      <x:c r="G9" s="74"/>
      <x:c r="H9" s="24" t="str"/>
    </x:row>
    <x:row r="10" ht="52.79999923706055" hidden="0" customHeight="1">
      <x:c r="A10" s="24" t="str">
        <x:v>知识产权</x:v>
      </x:c>
      <x:c r="B10" s="24" t="str">
        <x:v>代码、商标、专利、开源许可证</x:v>
      </x:c>
      <x:c r="C10" s="24" t="str">
        <x:v>权属文件+SBOM</x:v>
      </x:c>
      <x:c r="D10" s="24" t="str">
        <x:v>待开始</x:v>
      </x:c>
      <x:c r="E10" s="24" t="str">
        <x:v>高</x:v>
      </x:c>
      <x:c r="F10" s="24" t="str">
        <x:v>待定</x:v>
      </x:c>
      <x:c r="G10" s="74"/>
      <x:c r="H10" s="24" t="str"/>
    </x:row>
    <x:row r="11" ht="52.79999923706055" hidden="0" customHeight="1">
      <x:c r="A11" s="24" t="str">
        <x:v>合规</x:v>
      </x:c>
      <x:c r="B11" s="24" t="str">
        <x:v>备案、牌照、内容安全、行业监管</x:v>
      </x:c>
      <x:c r="C11" s="24" t="str">
        <x:v>官方文件+法律意见</x:v>
      </x:c>
      <x:c r="D11" s="24" t="str">
        <x:v>待开始</x:v>
      </x:c>
      <x:c r="E11" s="24" t="str">
        <x:v>高</x:v>
      </x:c>
      <x:c r="F11" s="24" t="str">
        <x:v>待定</x:v>
      </x:c>
      <x:c r="G11" s="74"/>
      <x:c r="H11" s="24" t="str"/>
    </x:row>
    <x:row r="12" ht="52.79999923706055" hidden="0" customHeight="1">
      <x:c r="A12" s="24" t="str">
        <x:v>团队</x:v>
      </x:c>
      <x:c r="B12" s="24" t="str">
        <x:v>履历、诚信、关键人、招聘与激励</x:v>
      </x:c>
      <x:c r="C12" s="24" t="str">
        <x:v>背调+访谈</x:v>
      </x:c>
      <x:c r="D12" s="24" t="str">
        <x:v>待开始</x:v>
      </x:c>
      <x:c r="E12" s="24" t="str">
        <x:v>中</x:v>
      </x:c>
      <x:c r="F12" s="24" t="str">
        <x:v>待定</x:v>
      </x:c>
      <x:c r="G12" s="74"/>
      <x:c r="H12" s="24" t="str"/>
    </x:row>
    <x:row r="13" ht="52.79999923706055" hidden="0" customHeight="1">
      <x:c r="A13" s="24" t="str">
        <x:v>股权</x:v>
      </x:c>
      <x:c r="B13" s="24" t="str">
        <x:v>股东名册、期权池、历史融资、代持</x:v>
      </x:c>
      <x:c r="C13" s="24" t="str">
        <x:v>工商+股权文件</x:v>
      </x:c>
      <x:c r="D13" s="24" t="str">
        <x:v>待开始</x:v>
      </x:c>
      <x:c r="E13" s="24" t="str">
        <x:v>高</x:v>
      </x:c>
      <x:c r="F13" s="24" t="str">
        <x:v>待定</x:v>
      </x:c>
      <x:c r="G13" s="74"/>
      <x:c r="H13" s="24" t="str"/>
    </x:row>
    <x:row r="14" ht="52.79999923706055" hidden="0" customHeight="1">
      <x:c r="A14" s="24" t="str">
        <x:v>条款</x:v>
      </x:c>
      <x:c r="B14" s="24" t="str">
        <x:v>清算优先、反稀释、回购、信息权</x:v>
      </x:c>
      <x:c r="C14" s="24" t="str">
        <x:v>TS+章程</x:v>
      </x:c>
      <x:c r="D14" s="24" t="str">
        <x:v>待开始</x:v>
      </x:c>
      <x:c r="E14" s="24" t="str">
        <x:v>高</x:v>
      </x:c>
      <x:c r="F14" s="24" t="str">
        <x:v>待定</x:v>
      </x:c>
      <x:c r="G14" s="74"/>
      <x:c r="H14" s="24" t="str"/>
    </x:row>
    <x:row r="15" ht="52.79999923706055" hidden="0" customHeight="1">
      <x:c r="A15" s="24" t="str">
        <x:v>竞争</x:v>
      </x:c>
      <x:c r="B15" s="24" t="str">
        <x:v>国内外竞品、大厂进入、开源替代</x:v>
      </x:c>
      <x:c r="C15" s="24" t="str">
        <x:v>竞品矩阵+客户访谈</x:v>
      </x:c>
      <x:c r="D15" s="24" t="str">
        <x:v>待开始</x:v>
      </x:c>
      <x:c r="E15" s="24" t="str">
        <x:v>中</x:v>
      </x:c>
      <x:c r="F15" s="24" t="str">
        <x:v>待定</x:v>
      </x:c>
      <x:c r="G15" s="74"/>
      <x:c r="H15" s="24" t="str"/>
    </x:row>
    <x:row r="16" ht="66" hidden="0" customHeight="1">
      <x:c r="A16" s="25" t="str">
        <x:v>退出</x:v>
      </x:c>
      <x:c r="B16" s="25" t="str">
        <x:v>下一轮融资、并购方、上市与转让限制</x:v>
      </x:c>
      <x:c r="C16" s="25" t="str">
        <x:v>资本规划+条款</x:v>
      </x:c>
      <x:c r="D16" s="25" t="str">
        <x:v>待开始</x:v>
      </x:c>
      <x:c r="E16" s="25" t="str">
        <x:v>中</x:v>
      </x:c>
      <x:c r="F16" s="25" t="str">
        <x:v>待定</x:v>
      </x:c>
      <x:c r="G16" s="75"/>
      <x:c r="H16" s="25" t="str"/>
    </x:row>
  </x:sheetData>
  <x:mergeCells>
    <x:mergeCell ref="A1:H2"/>
  </x:mergeCells>
  <x:dataValidations count="2">
    <x:dataValidation type="list" sqref="D5:D16">
      <x:formula1>"待开始,进行中,已完成,阻塞"</x:formula1>
    </x:dataValidation>
    <x:dataValidation type="list" sqref="E5:E16">
      <x:formula1>"高,中,低"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</x:cols>
  <x:sheetData>
    <x:row r="1" ht="30" customHeight="1">
      <x:c r="A1" s="4" t="str">
        <x:v>官方来源与刷新日志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/>
    <x:row r="4" ht="15" hidden="0" customHeight="1">
      <x:c r="A4" s="13" t="str">
        <x:v>项目</x:v>
      </x:c>
      <x:c r="B4" s="14" t="str">
        <x:v>来源类型</x:v>
      </x:c>
      <x:c r="C4" s="14" t="str">
        <x:v>官方来源</x:v>
      </x:c>
      <x:c r="D4" s="14" t="str">
        <x:v>URL</x:v>
      </x:c>
      <x:c r="E4" s="14" t="str">
        <x:v>截至日期</x:v>
      </x:c>
      <x:c r="F4" s="14" t="str">
        <x:v>刷新频率</x:v>
      </x:c>
      <x:c r="G4" s="14" t="str">
        <x:v>负责人</x:v>
      </x:c>
      <x:c r="H4" s="14" t="str">
        <x:v>状态</x:v>
      </x:c>
      <x:c r="I4" s="15" t="str">
        <x:v>备注</x:v>
      </x:c>
    </x:row>
    <x:row r="5" ht="92.4000015258789" hidden="0" customHeight="1">
      <x:c r="A5" s="23" t="str">
        <x:v>生成式AI监管</x:v>
      </x:c>
      <x:c r="B5" s="23" t="str">
        <x:v>政府文件</x:v>
      </x:c>
      <x:c r="C5" s="23" t="str">
        <x:v>国家网信办第15号令</x:v>
      </x:c>
      <x:c r="D5" s="23" t="str">
        <x:v>https://www.cac.gov.cn/2023-07/13/c_1690898327029107.htm</x:v>
      </x:c>
      <x:c r="E5" s="23" t="str">
        <x:v>2026-08-22</x:v>
      </x:c>
      <x:c r="F5" s="23" t="str">
        <x:v>季度</x:v>
      </x:c>
      <x:c r="G5" s="23" t="str">
        <x:v>待定</x:v>
      </x:c>
      <x:c r="H5" s="23" t="str">
        <x:v>已核验</x:v>
      </x:c>
      <x:c r="I5" s="23" t="str">
        <x:v>监管范围与服务提供者义务</x:v>
      </x:c>
    </x:row>
    <x:row r="6" ht="105.5999984741211" hidden="0" customHeight="1">
      <x:c r="A6" s="24" t="str">
        <x:v>算力网络</x:v>
      </x:c>
      <x:c r="B6" s="24" t="str">
        <x:v>政府文件</x:v>
      </x:c>
      <x:c r="C6" s="24" t="str">
        <x:v>国家发展改革委1779号</x:v>
      </x:c>
      <x:c r="D6" s="24" t="str">
        <x:v>https://www.ndrc.gov.cn/xxgk/zcfb/tz/202312/t20231229_1363000.html</x:v>
      </x:c>
      <x:c r="E6" s="24" t="str">
        <x:v>2026-08-22</x:v>
      </x:c>
      <x:c r="F6" s="24" t="str">
        <x:v>季度</x:v>
      </x:c>
      <x:c r="G6" s="24" t="str">
        <x:v>待定</x:v>
      </x:c>
      <x:c r="H6" s="24" t="str">
        <x:v>已核验</x:v>
      </x:c>
      <x:c r="I6" s="24" t="str">
        <x:v>60%/80%及1/5/20ms目标</x:v>
      </x:c>
    </x:row>
    <x:row r="7" ht="105.5999984741211" hidden="0" customHeight="1">
      <x:c r="A7" s="24" t="str">
        <x:v>出口管制</x:v>
      </x:c>
      <x:c r="B7" s="24" t="str">
        <x:v>政府文件</x:v>
      </x:c>
      <x:c r="C7" s="24" t="str">
        <x:v>BIS 2026 Guidance</x:v>
      </x:c>
      <x:c r="D7" s="24" t="str">
        <x:v>https://www.bis.gov/media/documents/bis-guidance-may-31-2026.pdf</x:v>
      </x:c>
      <x:c r="E7" s="24" t="str">
        <x:v>2026-08-22</x:v>
      </x:c>
      <x:c r="F7" s="24" t="str">
        <x:v>月度</x:v>
      </x:c>
      <x:c r="G7" s="24" t="str">
        <x:v>待定</x:v>
      </x:c>
      <x:c r="H7" s="24" t="str">
        <x:v>已核验</x:v>
      </x:c>
      <x:c r="I7" s="24" t="str">
        <x:v>芯片、最终用户与目的地核验</x:v>
      </x:c>
    </x:row>
    <x:row r="8" ht="52.79999923706055" hidden="0" customHeight="1">
      <x:c r="A8" s="24" t="str">
        <x:v>月之暗面</x:v>
      </x:c>
      <x:c r="B8" s="24" t="str">
        <x:v>公司官网</x:v>
      </x:c>
      <x:c r="C8" s="24" t="str">
        <x:v>Moonshot About</x:v>
      </x:c>
      <x:c r="D8" s="24" t="str">
        <x:v>https://www.moonshot.cn/about</x:v>
      </x:c>
      <x:c r="E8" s="24" t="str">
        <x:v>2026-08-22</x:v>
      </x:c>
      <x:c r="F8" s="24" t="str">
        <x:v>月度</x:v>
      </x:c>
      <x:c r="G8" s="24" t="str">
        <x:v>待定</x:v>
      </x:c>
      <x:c r="H8" s="24" t="str">
        <x:v>已核验</x:v>
      </x:c>
      <x:c r="I8" s="24" t="str">
        <x:v>产品与技术定位</x:v>
      </x:c>
    </x:row>
    <x:row r="9" ht="66" hidden="0" customHeight="1">
      <x:c r="A9" s="24" t="str">
        <x:v>DeepSeek</x:v>
      </x:c>
      <x:c r="B9" s="24" t="str">
        <x:v>公司官网</x:v>
      </x:c>
      <x:c r="C9" s="24" t="str">
        <x:v>透明度中心</x:v>
      </x:c>
      <x:c r="D9" s="24" t="str">
        <x:v>https://www.deepseek.com/transparency/</x:v>
      </x:c>
      <x:c r="E9" s="24" t="str">
        <x:v>2026-08-22</x:v>
      </x:c>
      <x:c r="F9" s="24" t="str">
        <x:v>月度</x:v>
      </x:c>
      <x:c r="G9" s="24" t="str">
        <x:v>待定</x:v>
      </x:c>
      <x:c r="H9" s="24" t="str">
        <x:v>已核验</x:v>
      </x:c>
      <x:c r="I9" s="24" t="str">
        <x:v>模型、技术报告与备案</x:v>
      </x:c>
    </x:row>
    <x:row r="10" ht="39.599998474121094" hidden="0" customHeight="1">
      <x:c r="A10" s="24" t="str">
        <x:v>阶跃星辰</x:v>
      </x:c>
      <x:c r="B10" s="24" t="str">
        <x:v>公司官网</x:v>
      </x:c>
      <x:c r="C10" s="24" t="str">
        <x:v>StepFun</x:v>
      </x:c>
      <x:c r="D10" s="24" t="str">
        <x:v>https://www.stepfun.com/</x:v>
      </x:c>
      <x:c r="E10" s="24" t="str">
        <x:v>2026-08-22</x:v>
      </x:c>
      <x:c r="F10" s="24" t="str">
        <x:v>月度</x:v>
      </x:c>
      <x:c r="G10" s="24" t="str">
        <x:v>待定</x:v>
      </x:c>
      <x:c r="H10" s="24" t="str">
        <x:v>已核验</x:v>
      </x:c>
      <x:c r="I10" s="24" t="str">
        <x:v>模型与产品矩阵</x:v>
      </x:c>
    </x:row>
    <x:row r="11" ht="52.79999923706055" hidden="0" customHeight="1">
      <x:c r="A11" s="24" t="str">
        <x:v>百川智能</x:v>
      </x:c>
      <x:c r="B11" s="24" t="str">
        <x:v>公司官网</x:v>
      </x:c>
      <x:c r="C11" s="24" t="str">
        <x:v>百川智能</x:v>
      </x:c>
      <x:c r="D11" s="24" t="str">
        <x:v>https://www.baichuan-ai.com/</x:v>
      </x:c>
      <x:c r="E11" s="24" t="str">
        <x:v>2026-08-22</x:v>
      </x:c>
      <x:c r="F11" s="24" t="str">
        <x:v>月度</x:v>
      </x:c>
      <x:c r="G11" s="24" t="str">
        <x:v>待定</x:v>
      </x:c>
      <x:c r="H11" s="24" t="str">
        <x:v>已核验</x:v>
      </x:c>
      <x:c r="I11" s="24" t="str">
        <x:v>基础模型与医疗AI</x:v>
      </x:c>
    </x:row>
    <x:row r="12" ht="66" hidden="0" customHeight="1">
      <x:c r="A12" s="24" t="str">
        <x:v>智谱</x:v>
      </x:c>
      <x:c r="B12" s="24" t="str">
        <x:v>投资者关系</x:v>
      </x:c>
      <x:c r="C12" s="24" t="str">
        <x:v>Z.AI IR</x:v>
      </x:c>
      <x:c r="D12" s="24" t="str">
        <x:v>https://www.zhipuai.cn/investor_relations/</x:v>
      </x:c>
      <x:c r="E12" s="24" t="str">
        <x:v>2026-08-22</x:v>
      </x:c>
      <x:c r="F12" s="24" t="str">
        <x:v>季度</x:v>
      </x:c>
      <x:c r="G12" s="24" t="str">
        <x:v>待定</x:v>
      </x:c>
      <x:c r="H12" s="24" t="str">
        <x:v>已核验</x:v>
      </x:c>
      <x:c r="I12" s="24" t="str">
        <x:v>招股书与财务报告入口</x:v>
      </x:c>
    </x:row>
    <x:row r="13" ht="92.4000015258789" hidden="0" customHeight="1">
      <x:c r="A13" s="25" t="str">
        <x:v>MiniMax</x:v>
      </x:c>
      <x:c r="B13" s="25" t="str">
        <x:v>投资者关系</x:v>
      </x:c>
      <x:c r="C13" s="25" t="str">
        <x:v>MiniMax IR</x:v>
      </x:c>
      <x:c r="D13" s="25" t="str">
        <x:v>https://ir.minimaxi.com/en/corporate-information/company-profile</x:v>
      </x:c>
      <x:c r="E13" s="25" t="str">
        <x:v>2026-08-22</x:v>
      </x:c>
      <x:c r="F13" s="25" t="str">
        <x:v>季度</x:v>
      </x:c>
      <x:c r="G13" s="25" t="str">
        <x:v>待定</x:v>
      </x:c>
      <x:c r="H13" s="25" t="str">
        <x:v>已核验</x:v>
      </x:c>
      <x:c r="I13" s="25" t="str">
        <x:v>公司介绍与公开披露入口</x:v>
      </x:c>
    </x:row>
  </x:sheetData>
  <x:mergeCells>
    <x:mergeCell ref="A1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30" customHeight="1">
      <x:c r="A1" s="4" t="str">
        <x:v>模型检查</x:v>
      </x:c>
      <x:c r="B1" s="4"/>
      <x:c r="C1" s="4"/>
      <x:c r="D1" s="4"/>
      <x:c r="E1" s="4"/>
      <x:c r="F1" s="4"/>
      <x:c r="G1" s="4"/>
    </x:row>
    <x:row r="2" ht="30" customHeight="1">
      <x:c r="A2" s="4"/>
      <x:c r="B2" s="4"/>
      <x:c r="C2" s="4"/>
      <x:c r="D2" s="4"/>
      <x:c r="E2" s="4"/>
      <x:c r="F2" s="4"/>
      <x:c r="G2" s="4"/>
    </x:row>
    <x:row r="3"/>
    <x:row r="4" ht="15" hidden="0" customHeight="1">
      <x:c r="A4" s="13" t="str">
        <x:v>检查</x:v>
      </x:c>
      <x:c r="B4" s="14" t="str">
        <x:v>实际值</x:v>
      </x:c>
      <x:c r="C4" s="14" t="str">
        <x:v>预期值</x:v>
      </x:c>
      <x:c r="D4" s="14" t="str">
        <x:v>差异</x:v>
      </x:c>
      <x:c r="E4" s="14" t="str">
        <x:v>容差</x:v>
      </x:c>
      <x:c r="F4" s="14" t="str">
        <x:v>状态</x:v>
      </x:c>
      <x:c r="G4" s="15" t="str">
        <x:v>修复提示</x:v>
      </x:c>
    </x:row>
    <x:row r="5" ht="66" hidden="0" customHeight="1">
      <x:c r="A5" s="23" t="str">
        <x:v>探索预算权重</x:v>
      </x:c>
      <x:c r="B5" s="26" t="n">
        <x:f>'Investment_Map'!F18</x:f>
        <x:v>1.0000000000000002</x:v>
      </x:c>
      <x:c r="C5" s="26" t="n">
        <x:v>1</x:v>
      </x:c>
      <x:c r="D5" s="26" t="n">
        <x:f>B5-C5</x:f>
        <x:v>2.220446049250313e-16</x:v>
      </x:c>
      <x:c r="E5" s="26" t="n">
        <x:v>0.0001</x:v>
      </x:c>
      <x:c r="F5" s="23" t="str">
        <x:f>IF(ABS(D5)&lt;=E5,"OK","FAIL")</x:f>
        <x:v>OK</x:v>
      </x:c>
      <x:c r="G5" s="23" t="str">
        <x:v>调整 Investment_Map 探索预算权重</x:v>
      </x:c>
    </x:row>
    <x:row r="6" ht="39.599998474121094" hidden="0" customHeight="1">
      <x:c r="A6" s="24" t="str">
        <x:v>API M12 客户非负</x:v>
      </x:c>
      <x:c r="B6" s="24" t="n">
        <x:f>'Operating_Model'!N5</x:f>
        <x:v>56.57701205539049</x:v>
      </x:c>
      <x:c r="C6" s="24" t="n">
        <x:v>0</x:v>
      </x:c>
      <x:c r="D6" s="24" t="n">
        <x:f>B6-C6</x:f>
        <x:v>56.57701205539049</x:v>
      </x:c>
      <x:c r="E6" s="24" t="n">
        <x:v>0</x:v>
      </x:c>
      <x:c r="F6" s="24" t="str">
        <x:f>IF(B6&gt;=0,"OK","FAIL")</x:f>
        <x:v>OK</x:v>
      </x:c>
      <x:c r="G6" s="24" t="str">
        <x:v>检查客户增长与流失假设</x:v>
      </x:c>
    </x:row>
    <x:row r="7" ht="39.599998474121094" hidden="0" customHeight="1">
      <x:c r="A7" s="24" t="str">
        <x:v>合规 M12 客户非负</x:v>
      </x:c>
      <x:c r="B7" s="24" t="n">
        <x:f>'Operating_Model'!N10</x:f>
        <x:v>15.5628464047076</x:v>
      </x:c>
      <x:c r="C7" s="24" t="n">
        <x:v>0</x:v>
      </x:c>
      <x:c r="D7" s="24" t="n">
        <x:f>B7-C7</x:f>
        <x:v>15.5628464047076</x:v>
      </x:c>
      <x:c r="E7" s="24" t="n">
        <x:v>0</x:v>
      </x:c>
      <x:c r="F7" s="24" t="str">
        <x:f>IF(B7&gt;=0,"OK","FAIL")</x:f>
        <x:v>OK</x:v>
      </x:c>
      <x:c r="G7" s="24" t="str">
        <x:v>检查客户增长与流失假设</x:v>
      </x:c>
    </x:row>
    <x:row r="8" ht="39.599998474121094" hidden="0" customHeight="1">
      <x:c r="A8" s="24" t="str">
        <x:v>专属云 M12 客户非负</x:v>
      </x:c>
      <x:c r="B8" s="24" t="n">
        <x:f>'Operating_Model'!N15</x:f>
        <x:v>121.12078071421983</x:v>
      </x:c>
      <x:c r="C8" s="24" t="n">
        <x:v>0</x:v>
      </x:c>
      <x:c r="D8" s="24" t="n">
        <x:f>B8-C8</x:f>
        <x:v>121.12078071421983</x:v>
      </x:c>
      <x:c r="E8" s="24" t="n">
        <x:v>0</x:v>
      </x:c>
      <x:c r="F8" s="24" t="str">
        <x:f>IF(B8&gt;=0,"OK","FAIL")</x:f>
        <x:v>OK</x:v>
      </x:c>
      <x:c r="G8" s="24" t="str">
        <x:v>检查客户增长与流失假设</x:v>
      </x:c>
    </x:row>
    <x:row r="9" ht="39.599998474121094" hidden="0" customHeight="1">
      <x:c r="A9" s="25" t="str">
        <x:v>所有来源状态非空</x:v>
      </x:c>
      <x:c r="B9" s="25" t="n">
        <x:f>COUNTA('Sources'!H5:H13)</x:f>
        <x:v>9</x:v>
      </x:c>
      <x:c r="C9" s="25" t="n">
        <x:v>9</x:v>
      </x:c>
      <x:c r="D9" s="25" t="n">
        <x:f>B9-C9</x:f>
        <x:v>0</x:v>
      </x:c>
      <x:c r="E9" s="25" t="n">
        <x:v>0</x:v>
      </x:c>
      <x:c r="F9" s="25" t="str">
        <x:f>IF(D9=0,"OK","FAIL")</x:f>
        <x:v>OK</x:v>
      </x:c>
      <x:c r="G9" s="25" t="str">
        <x:v>补全 Sources 状态</x:v>
      </x:c>
    </x:row>
    <x:row r="10"/>
    <x:row r="11"/>
    <x:row r="12" ht="16.799999237060547" hidden="0" customHeight="1">
      <x:c r="A12" s="80" t="str">
        <x:v>MODEL STATUS</x:v>
      </x:c>
      <x:c r="B12" s="80"/>
      <x:c r="C12" s="80"/>
      <x:c r="D12" s="80"/>
      <x:c r="E12" s="80"/>
      <x:c r="F12" s="80" t="str">
        <x:f>IF(COUNTIF(F5:F9,"FAIL")=0,"PASS","FAIL")</x:f>
        <x:v>PASS</x:v>
      </x:c>
      <x:c r="G12" s="80"/>
    </x:row>
  </x:sheetData>
  <x:mergeCells>
    <x:mergeCell ref="A1:G2"/>
    <x:mergeCell ref="A12:E12"/>
    <x:mergeCell ref="F12:G12"/>
  </x:mergeCells>
  <x:pageMargins left="0.7" right="0.7" top="0.75" bottom="0.75" header="0.3" footer="0.3"/>
</x:worksheet>
</file>